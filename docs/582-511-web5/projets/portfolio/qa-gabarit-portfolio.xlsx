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Scénarios" sheetId="2" state="visible" r:id="rId4"/>
    <sheet name="Tests" sheetId="3" state="visible" r:id="rId5"/>
    <sheet name="Correctifs" sheetId="4" state="visible" r:id="rId6"/>
    <sheet name="Autoévaluation" sheetId="5" state="visible" r:id="rId7"/>
    <sheet name="Synthès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<sst xmlns="http://schemas.openxmlformats.org/spreadsheetml/2006/main" count="218" uniqueCount="191">
  <si>
    <t xml:space="preserve">Contrôle de la qualité du portfolio</t>
  </si>
  <si>
    <t xml:space="preserve">Web 5 (582-511 MO) · Cellules jaunes = à remplir. Les autres se remplissent seules.</t>
  </si>
  <si>
    <t xml:space="preserve">Votre portfolio</t>
  </si>
  <si>
    <t xml:space="preserve">Prénom et nom</t>
  </si>
  <si>
    <t xml:space="preserve">Groupe (Lora ou Enric)</t>
  </si>
  <si>
    <t xml:space="preserve">Adresse de la bêta (branche beta)</t>
  </si>
  <si>
    <t xml:space="preserve">Adresse finale (branche main)</t>
  </si>
  <si>
    <t xml:space="preserve">Dépôt GitHub</t>
  </si>
  <si>
    <t xml:space="preserve">Les 3 testeurs : un environnement différent chacun</t>
  </si>
  <si>
    <t xml:space="preserve">Testeur</t>
  </si>
  <si>
    <t xml:space="preserve">Navigateur</t>
  </si>
  <si>
    <t xml:space="preserve">Appareil</t>
  </si>
  <si>
    <t xml:space="preserve">Date du test</t>
  </si>
  <si>
    <t xml:space="preserve">Note</t>
  </si>
  <si>
    <t xml:space="preserve">Testeur 1 (vous)</t>
  </si>
  <si>
    <t xml:space="preserve">Auto-test : vous comptez comme l'une des 3 personnes.</t>
  </si>
  <si>
    <t xml:space="preserve">Testeur 2 (camarade)</t>
  </si>
  <si>
    <t xml:space="preserve">Testeur 3 (camarade)</t>
  </si>
  <si>
    <t xml:space="preserve">Mode d'emploi</t>
  </si>
  <si>
    <t xml:space="preserve">1. Remplissez les cellules jaunes ci-dessus. Ajoutez 2 ou 3 scénarios personnels dans l'onglet Scénarios (scénarios 12 à 14).</t>
  </si>
  <si>
    <t xml:space="preserve">2. Les tests se font sur l'adresse de la BÊTA (branche beta). Chaque testeur fait tous les scénarios, dans l'onglet Tests, dans son bloc.</t>
  </si>
  <si>
    <t xml:space="preserve">3. Pour chaque ligne : Résultat = Conforme ou Écart. Si Écart : décrivez ce que vous observez et choisissez une gravité.</t>
  </si>
  <si>
    <t xml:space="preserve">4. Une fois les 3 tests terminés seulement : l'auteur passe GitHub Pages sur la branche main, puis corrige sur main.</t>
  </si>
  <si>
    <t xml:space="preserve">5. Chaque écart corrigé va dans l'onglet Correctifs : le correctif, le commit, puis la validation (scénario refait en ligne, sur main).</t>
  </si>
  <si>
    <t xml:space="preserve">6. À la maison : l'onglet Autoévaluation, avec la grille critériée. L'onglet Synthèse se calcule seul.</t>
  </si>
  <si>
    <t xml:space="preserve">Gravité</t>
  </si>
  <si>
    <t xml:space="preserve">Bloquant</t>
  </si>
  <si>
    <t xml:space="preserve">Empêche d'utiliser le site ou une fonction (cartes absentes, lien mort vers un projet, menu inutilisable sur mobile).</t>
  </si>
  <si>
    <t xml:space="preserve">Majeur</t>
  </si>
  <si>
    <t xml:space="preserve">Nuit clairement à l'expérience (contraste insuffisant, focus invisible, image très lourde, texte qui déborde).</t>
  </si>
  <si>
    <t xml:space="preserve">Mineur</t>
  </si>
  <si>
    <t xml:space="preserve">Détail à améliorer (alignement, espacement, petite incohérence visuelle).</t>
  </si>
  <si>
    <t xml:space="preserve">Exemple de ligne bien remplie (Tests)</t>
  </si>
  <si>
    <t xml:space="preserve">Scénario</t>
  </si>
  <si>
    <t xml:space="preserve">7. Navigation au clavier</t>
  </si>
  <si>
    <t xml:space="preserve">Testeur 2 (Firefox, ordinateur)</t>
  </si>
  <si>
    <t xml:space="preserve">Résultat</t>
  </si>
  <si>
    <t xml:space="preserve">Écart</t>
  </si>
  <si>
    <t xml:space="preserve">Résultat observé</t>
  </si>
  <si>
    <t xml:space="preserve">Sur l'accueil, le focus disparaît sur les cartes de projets : impossible de savoir quelle carte est sélectionnée. Échap ne ferme pas la modale.</t>
  </si>
  <si>
    <t xml:space="preserve">Exemple de ligne bien remplie (Correctifs)</t>
  </si>
  <si>
    <t xml:space="preserve">Correctif</t>
  </si>
  <si>
    <t xml:space="preserve">Ajout d'un style :focus-visible sur .project-card__button; la modale utilise maintenant &lt;dialog&gt; avec showModal(), qui gère Échap.</t>
  </si>
  <si>
    <t xml:space="preserve">Commit</t>
  </si>
  <si>
    <t xml:space="preserve">T-21 : focus visible et fermeture de la modale au clavier</t>
  </si>
  <si>
    <t xml:space="preserve">Validation</t>
  </si>
  <si>
    <t xml:space="preserve">Scénario 7 refait le 6 oct. sur l'adresse finale (main), Firefox : focus visible partout, Échap ferme la modale. Validé : Oui</t>
  </si>
  <si>
    <t xml:space="preserve">Scénarios de test</t>
  </si>
  <si>
    <t xml:space="preserve">1 à 11 : tronc commun, pour tout le monde. 12 à 14 : vos scénarios personnels (cellules jaunes).</t>
  </si>
  <si>
    <t xml:space="preserve">#</t>
  </si>
  <si>
    <t xml:space="preserve">Comment faire</t>
  </si>
  <si>
    <t xml:space="preserve">Résultat attendu</t>
  </si>
  <si>
    <t xml:space="preserve">Lien avec la grille</t>
  </si>
  <si>
    <t xml:space="preserve">Première impression</t>
  </si>
  <si>
    <t xml:space="preserve">Regardez l'accueil 5 secondes, puis détournez les yeux. Dites qui est la personne et ce qu'elle fait.</t>
  </si>
  <si>
    <t xml:space="preserve">Réponse juste, sans avoir cherché ni fait défiler.</t>
  </si>
  <si>
    <t xml:space="preserve">C1 cohérence visuelle; C3 lisibilité</t>
  </si>
  <si>
    <t xml:space="preserve">Navigation par le menu</t>
  </si>
  <si>
    <t xml:space="preserve">À partir du menu, atteignez chaque section ou page, puis revenez à l'accueil.</t>
  </si>
  <si>
    <t xml:space="preserve">Chaque lien mène au bon endroit. Aucun lien mort, aucune page vide.</t>
  </si>
  <si>
    <t xml:space="preserve">C2 navigation</t>
  </si>
  <si>
    <t xml:space="preserve">Liste des projets</t>
  </si>
  <si>
    <t xml:space="preserve">Parcourez la section des projets.</t>
  </si>
  <si>
    <t xml:space="preserve">Toutes les cartes s'affichent, chacune avec son image et son titre. Aucune image cassée.</t>
  </si>
  <si>
    <t xml:space="preserve">C2 chargement des données</t>
  </si>
  <si>
    <t xml:space="preserve">Détail d'un projet</t>
  </si>
  <si>
    <t xml:space="preserve">Ouvrez le détail de 2 projets différents, puis revenez ou fermez.</t>
  </si>
  <si>
    <t xml:space="preserve">Le contenu correspond au projet cliqué. Le retour ou la fermeture fonctionne.</t>
  </si>
  <si>
    <t xml:space="preserve">C2 éléments interactifs</t>
  </si>
  <si>
    <t xml:space="preserve">Liens externes et contact</t>
  </si>
  <si>
    <t xml:space="preserve">Cliquez sur chaque lien externe (réseaux, vidéo, CV, courriel...).</t>
  </si>
  <si>
    <t xml:space="preserve">Chaque lien mène au bon endroit. Les liens externes ne vous font pas perdre le portfolio.</t>
  </si>
  <si>
    <t xml:space="preserve">Version mobile</t>
  </si>
  <si>
    <t xml:space="preserve">Sur un téléphone (ou le mode appareil de l'inspecteur, 375 px), refaites les scénarios 2 à 4.</t>
  </si>
  <si>
    <t xml:space="preserve">Rien ne déborde horizontalement. Le menu est utilisable. Les textes sont lisibles sans zoomer.</t>
  </si>
  <si>
    <t xml:space="preserve">C2 responsive</t>
  </si>
  <si>
    <t xml:space="preserve">Navigation au clavier</t>
  </si>
  <si>
    <t xml:space="preserve">Sans toucher à la souris, refaites les scénarios 2 à 4 : Tab, Maj+Tab, Entrée, Espace, Échap. (Mac/Safari : voir la page Accessibilité.)</t>
  </si>
  <si>
    <t xml:space="preserve">Tout est atteignable. On voit toujours où est le focus. L'ordre est logique. Échap ferme une modale.</t>
  </si>
  <si>
    <t xml:space="preserve">C2 WCAG : clavier</t>
  </si>
  <si>
    <t xml:space="preserve">Contraste des textes</t>
  </si>
  <si>
    <t xml:space="preserve">Inspecteur : cliquez sur la couleur d'un texte (Styles) pour voir le ratio. Testez le texte courant, les liens, les boutons, le texte sur image.</t>
  </si>
  <si>
    <t xml:space="preserve">Ratio AA respecté : 4,5:1 pour le texte courant, 3:1 pour le gros texte (24 px, ou 18,5 px en gras).</t>
  </si>
  <si>
    <t xml:space="preserve">C2 WCAG : contraste</t>
  </si>
  <si>
    <t xml:space="preserve">Structure et textes alternatifs</t>
  </si>
  <si>
    <t xml:space="preserve">Lancez l'extension WAVE sur l'accueil et sur le détail d'un projet. Notez les erreurs (rouge) et les alertes de contraste.</t>
  </si>
  <si>
    <t xml:space="preserve">Aucune erreur WAVE. Images informatives avec un alt descriptif, images décoratives avec alt="". Un seul h1 par page.</t>
  </si>
  <si>
    <t xml:space="preserve">C2 WCAG : sémantique et alt</t>
  </si>
  <si>
    <t xml:space="preserve">Console et réseau</t>
  </si>
  <si>
    <t xml:space="preserve">Ouvrez l'inspecteur (F12), onglets Console et Réseau, puis refaites les scénarios 2 à 4.</t>
  </si>
  <si>
    <t xml:space="preserve">Aucune erreur rouge dans la console. Aucune ressource en 404 dans Réseau.</t>
  </si>
  <si>
    <t xml:space="preserve">C2 sans erreur</t>
  </si>
  <si>
    <t xml:space="preserve">Chargement sur connexion lente</t>
  </si>
  <si>
    <t xml:space="preserve">Réseau : cochez Désactiver le cache, choisissez « Slow 4G », puis rechargez l'accueil. Notez le poids total (bas de l'onglet Réseau).</t>
  </si>
  <si>
    <t xml:space="preserve">Le contenu principal apparaît rapidement. Aucune image ne pèse plus de quelques centaines de Ko.</t>
  </si>
  <si>
    <t xml:space="preserve">C1 médias; C2 chargement perçu</t>
  </si>
  <si>
    <t xml:space="preserve">C3 exhaustivité</t>
  </si>
  <si>
    <t xml:space="preserve">Résultats des tests</t>
  </si>
  <si>
    <t xml:space="preserve">Tests faits sur l'adresse de la BÊTA. Chaque testeur remplit son bloc. Cellules jaunes = à remplir.</t>
  </si>
  <si>
    <t xml:space="preserve">ID</t>
  </si>
  <si>
    <t xml:space="preserve">Environnement</t>
  </si>
  <si>
    <t xml:space="preserve">Résultat observé (si écart)</t>
  </si>
  <si>
    <t xml:space="preserve">T-01</t>
  </si>
  <si>
    <t xml:space="preserve">T-02</t>
  </si>
  <si>
    <t xml:space="preserve">T-03</t>
  </si>
  <si>
    <t xml:space="preserve">T-04</t>
  </si>
  <si>
    <t xml:space="preserve">T-05</t>
  </si>
  <si>
    <t xml:space="preserve">T-06</t>
  </si>
  <si>
    <t xml:space="preserve">T-07</t>
  </si>
  <si>
    <t xml:space="preserve">T-08</t>
  </si>
  <si>
    <t xml:space="preserve">T-09</t>
  </si>
  <si>
    <t xml:space="preserve">T-10</t>
  </si>
  <si>
    <t xml:space="preserve">T-11</t>
  </si>
  <si>
    <t xml:space="preserve">T-12</t>
  </si>
  <si>
    <t xml:space="preserve">T-13</t>
  </si>
  <si>
    <t xml:space="preserve">T-14</t>
  </si>
  <si>
    <t xml:space="preserve">T-15</t>
  </si>
  <si>
    <t xml:space="preserve">T-16</t>
  </si>
  <si>
    <t xml:space="preserve">T-17</t>
  </si>
  <si>
    <t xml:space="preserve">T-18</t>
  </si>
  <si>
    <t xml:space="preserve">T-19</t>
  </si>
  <si>
    <t xml:space="preserve">T-20</t>
  </si>
  <si>
    <t xml:space="preserve">T-21</t>
  </si>
  <si>
    <t xml:space="preserve">T-22</t>
  </si>
  <si>
    <t xml:space="preserve">T-23</t>
  </si>
  <si>
    <t xml:space="preserve">T-24</t>
  </si>
  <si>
    <t xml:space="preserve">T-25</t>
  </si>
  <si>
    <t xml:space="preserve">T-26</t>
  </si>
  <si>
    <t xml:space="preserve">T-27</t>
  </si>
  <si>
    <t xml:space="preserve">T-28</t>
  </si>
  <si>
    <t xml:space="preserve">T-29</t>
  </si>
  <si>
    <t xml:space="preserve">T-30</t>
  </si>
  <si>
    <t xml:space="preserve">T-31</t>
  </si>
  <si>
    <t xml:space="preserve">T-32</t>
  </si>
  <si>
    <t xml:space="preserve">T-33</t>
  </si>
  <si>
    <t xml:space="preserve">T-34</t>
  </si>
  <si>
    <t xml:space="preserve">T-35</t>
  </si>
  <si>
    <t xml:space="preserve">T-36</t>
  </si>
  <si>
    <t xml:space="preserve">T-37</t>
  </si>
  <si>
    <t xml:space="preserve">T-38</t>
  </si>
  <si>
    <t xml:space="preserve">T-39</t>
  </si>
  <si>
    <t xml:space="preserve">T-40</t>
  </si>
  <si>
    <t xml:space="preserve">T-41</t>
  </si>
  <si>
    <t xml:space="preserve">T-42</t>
  </si>
  <si>
    <t xml:space="preserve">Correctifs et validation</t>
  </si>
  <si>
    <t xml:space="preserve">Un écart = une ligne. Corrigez sur main, puis validez en refaisant le scénario EN LIGNE, sur l'adresse finale.</t>
  </si>
  <si>
    <t xml:space="preserve">ID du test</t>
  </si>
  <si>
    <t xml:space="preserve">Écart observé</t>
  </si>
  <si>
    <t xml:space="preserve">Correctif apporté</t>
  </si>
  <si>
    <t xml:space="preserve">Commit (message)</t>
  </si>
  <si>
    <t xml:space="preserve">Date de validation</t>
  </si>
  <si>
    <t xml:space="preserve">Validé?</t>
  </si>
  <si>
    <t xml:space="preserve">Comment j'ai validé</t>
  </si>
  <si>
    <t xml:space="preserve">Autoévaluation avec la grille critériée</t>
  </si>
  <si>
    <t xml:space="preserve">À faire à la maison. Pour chaque indicateur : votre niveau, et la preuve qui le justifie (fichier, ligne du tableau, commit...).</t>
  </si>
  <si>
    <t xml:space="preserve">Critère</t>
  </si>
  <si>
    <t xml:space="preserve">Indicateur</t>
  </si>
  <si>
    <t xml:space="preserve">Mon niveau</t>
  </si>
  <si>
    <t xml:space="preserve">Preuve / justification</t>
  </si>
  <si>
    <t xml:space="preserve">C1 Conception (/15)</t>
  </si>
  <si>
    <t xml:space="preserve">Interface cohérente sur le plan visuel (couleurs, typographie, hiérarchie) qui reflète l'identité du portfolio</t>
  </si>
  <si>
    <t xml:space="preserve">Arborescence et structure des pages, démontrées par le document de planification</t>
  </si>
  <si>
    <t xml:space="preserve">Justification de chaque technologie choisie</t>
  </si>
  <si>
    <t xml:space="preserve">Structure de dossiers cohérente et convention de nommage uniforme</t>
  </si>
  <si>
    <t xml:space="preserve">Traitement optimisé des médias (format, compression, dimensions)</t>
  </si>
  <si>
    <t xml:space="preserve">Justification orale devant le jury (à anticiper : quelles questions pourrait-on vous poser?)</t>
  </si>
  <si>
    <t xml:space="preserve">C2 Programmation (/15)</t>
  </si>
  <si>
    <t xml:space="preserve">Mise en page flexible et adaptative (mobile, tablette, ordinateur)</t>
  </si>
  <si>
    <t xml:space="preserve">Navigation et éléments interactifs fonctionnels, sans erreur bloquante</t>
  </si>
  <si>
    <t xml:space="preserve">Normes d'accessibilité WCAG AA (sémantique, alt, contraste, clavier)</t>
  </si>
  <si>
    <t xml:space="preserve">Commentaires pertinents (HTML, CSS, JS)</t>
  </si>
  <si>
    <t xml:space="preserve">Chargement efficace des données (peu de duplication, chargement perçu rapide)</t>
  </si>
  <si>
    <t xml:space="preserve">C3 Contrôle de la qualité (/10)</t>
  </si>
  <si>
    <t xml:space="preserve">Vérification de l'expérience et du fonctionnement auprès de 3 personnes, chacune sur un environnement différent</t>
  </si>
  <si>
    <t xml:space="preserve">Rapport de tests : scénario, résultat observé, écart</t>
  </si>
  <si>
    <t xml:space="preserve">Correctifs adéquats, décrits et validés</t>
  </si>
  <si>
    <t xml:space="preserve">Synthèse</t>
  </si>
  <si>
    <t xml:space="preserve">Calculée automatiquement à partir des onglets Tests et Correctifs.</t>
  </si>
  <si>
    <t xml:space="preserve">Valeur</t>
  </si>
  <si>
    <t xml:space="preserve">Lignes de test</t>
  </si>
  <si>
    <t xml:space="preserve">Tests faits (Conforme ou Écart)</t>
  </si>
  <si>
    <t xml:space="preserve">Conformes</t>
  </si>
  <si>
    <t xml:space="preserve">Écarts</t>
  </si>
  <si>
    <t xml:space="preserve">   dont bloquants</t>
  </si>
  <si>
    <t xml:space="preserve">   dont majeurs</t>
  </si>
  <si>
    <t xml:space="preserve">   dont mineurs</t>
  </si>
  <si>
    <t xml:space="preserve">Écarts sans gravité (à compléter)</t>
  </si>
  <si>
    <t xml:space="preserve">Correctifs inscrits</t>
  </si>
  <si>
    <t xml:space="preserve">Correctifs validés</t>
  </si>
  <si>
    <t xml:space="preserve">Écarts validés (%)</t>
  </si>
  <si>
    <t xml:space="preserve">Note : « Lignes de test » exclut les 3 bandeaux de testeurs.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</si>
</sst>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0A0A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2B47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0A0A0A"/>
        <bgColor rgb="FF000000"/>
      </patternFill>
    </fill>
    <fill>
      <patternFill patternType="solid">
        <fgColor rgb="FFFF2B47"/>
        <bgColor rgb="FFFF66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2B47"/>
      </font>
    </dxf>
    <dxf>
      <font>
        <name val="Arial"/>
        <charset val="1"/>
        <family val="0"/>
        <color rgb="FF2E7D32"/>
      </font>
    </dxf>
  </dxfs>
  <colors>
    <indexedColors>
      <rgbColor rgb="FF000000"/>
      <rgbColor rgb="FFFFFFFF"/>
      <rgbColor rgb="FFFF2B47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E7D32"/>
      <rgbColor rgb="FF0A0A0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F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22"/>
    <col collapsed="false" customWidth="true" hidden="false" outlineLevel="0" max="5" min="5" style="0" width="16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/>
      <c r="C5" s="5"/>
      <c r="D5" s="5"/>
    </row>
    <row r="6" customFormat="false" ht="15" hidden="false" customHeight="false" outlineLevel="0" collapsed="false">
      <c r="A6" s="4" t="s">
        <v>4</v>
      </c>
      <c r="B6" s="5"/>
      <c r="C6" s="5"/>
      <c r="D6" s="5"/>
    </row>
    <row r="7" customFormat="false" ht="15" hidden="false" customHeight="false" outlineLevel="0" collapsed="false">
      <c r="A7" s="4" t="s">
        <v>5</v>
      </c>
      <c r="B7" s="5"/>
      <c r="C7" s="5"/>
      <c r="D7" s="5"/>
    </row>
    <row r="8" customFormat="false" ht="15" hidden="false" customHeight="false" outlineLevel="0" collapsed="false">
      <c r="A8" s="4" t="s">
        <v>6</v>
      </c>
      <c r="B8" s="5"/>
      <c r="C8" s="5"/>
      <c r="D8" s="5"/>
    </row>
    <row r="9" customFormat="false" ht="15" hidden="false" customHeight="false" outlineLevel="0" collapsed="false">
      <c r="A9" s="4" t="s">
        <v>7</v>
      </c>
      <c r="B9" s="5"/>
      <c r="C9" s="5"/>
      <c r="D9" s="5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6" t="s">
        <v>9</v>
      </c>
      <c r="B12" s="6" t="s">
        <v>3</v>
      </c>
      <c r="C12" s="6" t="s">
        <v>10</v>
      </c>
      <c r="D12" s="6" t="s">
        <v>11</v>
      </c>
      <c r="E12" s="6" t="s">
        <v>12</v>
      </c>
      <c r="F12" s="6" t="s">
        <v>13</v>
      </c>
    </row>
    <row r="13" customFormat="false" ht="23.85" hidden="false" customHeight="false" outlineLevel="0" collapsed="false">
      <c r="A13" s="4" t="s">
        <v>14</v>
      </c>
      <c r="B13" s="5"/>
      <c r="C13" s="5"/>
      <c r="D13" s="5"/>
      <c r="E13" s="5"/>
      <c r="F13" s="7" t="s">
        <v>15</v>
      </c>
    </row>
    <row r="14" customFormat="false" ht="15" hidden="false" customHeight="false" outlineLevel="0" collapsed="false">
      <c r="A14" s="4" t="s">
        <v>16</v>
      </c>
      <c r="B14" s="5"/>
      <c r="C14" s="5"/>
      <c r="D14" s="5"/>
      <c r="E14" s="5"/>
      <c r="F14" s="7"/>
    </row>
    <row r="15" customFormat="false" ht="15" hidden="false" customHeight="false" outlineLevel="0" collapsed="false">
      <c r="A15" s="4" t="s">
        <v>17</v>
      </c>
      <c r="B15" s="5"/>
      <c r="C15" s="5"/>
      <c r="D15" s="5"/>
      <c r="E15" s="5"/>
      <c r="F15" s="7"/>
    </row>
    <row r="17" customFormat="false" ht="15" hidden="false" customHeight="false" outlineLevel="0" collapsed="false">
      <c r="A17" s="3" t="s">
        <v>18</v>
      </c>
    </row>
    <row r="18" customFormat="false" ht="27.75" hidden="false" customHeight="true" outlineLevel="0" collapsed="false">
      <c r="A18" s="8" t="s">
        <v>19</v>
      </c>
      <c r="B18" s="8"/>
      <c r="C18" s="8"/>
      <c r="D18" s="8"/>
      <c r="E18" s="8"/>
      <c r="F18" s="8"/>
    </row>
    <row r="19" customFormat="false" ht="27.75" hidden="false" customHeight="true" outlineLevel="0" collapsed="false">
      <c r="A19" s="8" t="s">
        <v>20</v>
      </c>
      <c r="B19" s="8"/>
      <c r="C19" s="8"/>
      <c r="D19" s="8"/>
      <c r="E19" s="8"/>
      <c r="F19" s="8"/>
    </row>
    <row r="20" customFormat="false" ht="27.75" hidden="false" customHeight="true" outlineLevel="0" collapsed="false">
      <c r="A20" s="8" t="s">
        <v>21</v>
      </c>
      <c r="B20" s="8"/>
      <c r="C20" s="8"/>
      <c r="D20" s="8"/>
      <c r="E20" s="8"/>
      <c r="F20" s="8"/>
    </row>
    <row r="21" customFormat="false" ht="27.75" hidden="false" customHeight="true" outlineLevel="0" collapsed="false">
      <c r="A21" s="8" t="s">
        <v>22</v>
      </c>
      <c r="B21" s="8"/>
      <c r="C21" s="8"/>
      <c r="D21" s="8"/>
      <c r="E21" s="8"/>
      <c r="F21" s="8"/>
    </row>
    <row r="22" customFormat="false" ht="27.75" hidden="false" customHeight="true" outlineLevel="0" collapsed="false">
      <c r="A22" s="8" t="s">
        <v>23</v>
      </c>
      <c r="B22" s="8"/>
      <c r="C22" s="8"/>
      <c r="D22" s="8"/>
      <c r="E22" s="8"/>
      <c r="F22" s="8"/>
    </row>
    <row r="23" customFormat="false" ht="27.75" hidden="false" customHeight="true" outlineLevel="0" collapsed="false">
      <c r="A23" s="8" t="s">
        <v>24</v>
      </c>
      <c r="B23" s="8"/>
      <c r="C23" s="8"/>
      <c r="D23" s="8"/>
      <c r="E23" s="8"/>
      <c r="F23" s="8"/>
    </row>
    <row r="25" customFormat="false" ht="15" hidden="false" customHeight="false" outlineLevel="0" collapsed="false">
      <c r="A25" s="3" t="s">
        <v>25</v>
      </c>
    </row>
    <row r="26" customFormat="false" ht="27.75" hidden="false" customHeight="true" outlineLevel="0" collapsed="false">
      <c r="A26" s="4" t="s">
        <v>26</v>
      </c>
      <c r="B26" s="9" t="s">
        <v>27</v>
      </c>
      <c r="C26" s="9"/>
      <c r="D26" s="9"/>
      <c r="E26" s="9"/>
      <c r="F26" s="9"/>
    </row>
    <row r="27" customFormat="false" ht="27.75" hidden="false" customHeight="true" outlineLevel="0" collapsed="false">
      <c r="A27" s="4" t="s">
        <v>28</v>
      </c>
      <c r="B27" s="9" t="s">
        <v>29</v>
      </c>
      <c r="C27" s="9"/>
      <c r="D27" s="9"/>
      <c r="E27" s="9"/>
      <c r="F27" s="9"/>
    </row>
    <row r="28" customFormat="false" ht="27.75" hidden="false" customHeight="true" outlineLevel="0" collapsed="false">
      <c r="A28" s="4" t="s">
        <v>30</v>
      </c>
      <c r="B28" s="9" t="s">
        <v>31</v>
      </c>
      <c r="C28" s="9"/>
      <c r="D28" s="9"/>
      <c r="E28" s="9"/>
      <c r="F28" s="9"/>
    </row>
    <row r="30" customFormat="false" ht="15" hidden="false" customHeight="false" outlineLevel="0" collapsed="false">
      <c r="A30" s="3" t="s">
        <v>32</v>
      </c>
    </row>
    <row r="31" customFormat="false" ht="15" hidden="false" customHeight="true" outlineLevel="0" collapsed="false">
      <c r="A31" s="4" t="s">
        <v>33</v>
      </c>
      <c r="B31" s="10" t="s">
        <v>34</v>
      </c>
      <c r="C31" s="10"/>
      <c r="D31" s="10"/>
      <c r="E31" s="10"/>
      <c r="F31" s="10"/>
    </row>
    <row r="32" customFormat="false" ht="15" hidden="false" customHeight="true" outlineLevel="0" collapsed="false">
      <c r="A32" s="4" t="s">
        <v>9</v>
      </c>
      <c r="B32" s="10" t="s">
        <v>35</v>
      </c>
      <c r="C32" s="10"/>
      <c r="D32" s="10"/>
      <c r="E32" s="10"/>
      <c r="F32" s="10"/>
    </row>
    <row r="33" customFormat="false" ht="15" hidden="false" customHeight="true" outlineLevel="0" collapsed="false">
      <c r="A33" s="4" t="s">
        <v>36</v>
      </c>
      <c r="B33" s="10" t="s">
        <v>37</v>
      </c>
      <c r="C33" s="10"/>
      <c r="D33" s="10"/>
      <c r="E33" s="10"/>
      <c r="F33" s="10"/>
    </row>
    <row r="34" customFormat="false" ht="27.75" hidden="false" customHeight="true" outlineLevel="0" collapsed="false">
      <c r="A34" s="4" t="s">
        <v>38</v>
      </c>
      <c r="B34" s="10" t="s">
        <v>39</v>
      </c>
      <c r="C34" s="10"/>
      <c r="D34" s="10"/>
      <c r="E34" s="10"/>
      <c r="F34" s="10"/>
    </row>
    <row r="35" customFormat="false" ht="15" hidden="false" customHeight="true" outlineLevel="0" collapsed="false">
      <c r="A35" s="4" t="s">
        <v>25</v>
      </c>
      <c r="B35" s="10" t="s">
        <v>28</v>
      </c>
      <c r="C35" s="10"/>
      <c r="D35" s="10"/>
      <c r="E35" s="10"/>
      <c r="F35" s="10"/>
    </row>
    <row r="37" customFormat="false" ht="15" hidden="false" customHeight="false" outlineLevel="0" collapsed="false">
      <c r="A37" s="3" t="s">
        <v>40</v>
      </c>
    </row>
    <row r="38" customFormat="false" ht="27.75" hidden="false" customHeight="true" outlineLevel="0" collapsed="false">
      <c r="A38" s="4" t="s">
        <v>41</v>
      </c>
      <c r="B38" s="10" t="s">
        <v>42</v>
      </c>
      <c r="C38" s="10"/>
      <c r="D38" s="10"/>
      <c r="E38" s="10"/>
      <c r="F38" s="10"/>
    </row>
    <row r="39" customFormat="false" ht="27.75" hidden="false" customHeight="true" outlineLevel="0" collapsed="false">
      <c r="A39" s="4" t="s">
        <v>43</v>
      </c>
      <c r="B39" s="10" t="s">
        <v>44</v>
      </c>
      <c r="C39" s="10"/>
      <c r="D39" s="10"/>
      <c r="E39" s="10"/>
      <c r="F39" s="10"/>
    </row>
    <row r="40" customFormat="false" ht="27.75" hidden="false" customHeight="true" outlineLevel="0" collapsed="false">
      <c r="A40" s="4" t="s">
        <v>45</v>
      </c>
      <c r="B40" s="10" t="s">
        <v>46</v>
      </c>
      <c r="C40" s="10"/>
      <c r="D40" s="10"/>
      <c r="E40" s="10"/>
      <c r="F40" s="10"/>
    </row>
  </sheetData>
  <mergeCells count="22">
    <mergeCell ref="B5:D5"/>
    <mergeCell ref="B6:D6"/>
    <mergeCell ref="B7:D7"/>
    <mergeCell ref="B8:D8"/>
    <mergeCell ref="B9:D9"/>
    <mergeCell ref="A18:F18"/>
    <mergeCell ref="A19:F19"/>
    <mergeCell ref="A20:F20"/>
    <mergeCell ref="A21:F21"/>
    <mergeCell ref="A22:F22"/>
    <mergeCell ref="A23:F23"/>
    <mergeCell ref="B26:F26"/>
    <mergeCell ref="B27:F27"/>
    <mergeCell ref="B28:F28"/>
    <mergeCell ref="B31:F31"/>
    <mergeCell ref="B32:F32"/>
    <mergeCell ref="B33:F33"/>
    <mergeCell ref="B34:F34"/>
    <mergeCell ref="B35:F35"/>
    <mergeCell ref="B38:F38"/>
    <mergeCell ref="B39:F39"/>
    <mergeCell ref="B40:F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42"/>
    <col collapsed="false" customWidth="true" hidden="false" outlineLevel="0" max="5" min="5" style="0" width="26"/>
  </cols>
  <sheetData>
    <row r="1" customFormat="false" ht="19.7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30" hidden="false" customHeight="true" outlineLevel="0" collapsed="false">
      <c r="A4" s="11" t="s">
        <v>49</v>
      </c>
      <c r="B4" s="11" t="s">
        <v>33</v>
      </c>
      <c r="C4" s="11" t="s">
        <v>50</v>
      </c>
      <c r="D4" s="11" t="s">
        <v>51</v>
      </c>
      <c r="E4" s="11" t="s">
        <v>52</v>
      </c>
    </row>
    <row r="5" customFormat="false" ht="57.75" hidden="false" customHeight="true" outlineLevel="0" collapsed="false">
      <c r="A5" s="12" t="n">
        <v>1</v>
      </c>
      <c r="B5" s="4" t="s">
        <v>53</v>
      </c>
      <c r="C5" s="7" t="s">
        <v>54</v>
      </c>
      <c r="D5" s="7" t="s">
        <v>55</v>
      </c>
      <c r="E5" s="7" t="s">
        <v>56</v>
      </c>
    </row>
    <row r="6" customFormat="false" ht="57.75" hidden="false" customHeight="true" outlineLevel="0" collapsed="false">
      <c r="A6" s="12" t="n">
        <v>2</v>
      </c>
      <c r="B6" s="4" t="s">
        <v>57</v>
      </c>
      <c r="C6" s="7" t="s">
        <v>58</v>
      </c>
      <c r="D6" s="7" t="s">
        <v>59</v>
      </c>
      <c r="E6" s="7" t="s">
        <v>60</v>
      </c>
    </row>
    <row r="7" customFormat="false" ht="57.75" hidden="false" customHeight="true" outlineLevel="0" collapsed="false">
      <c r="A7" s="12" t="n">
        <v>3</v>
      </c>
      <c r="B7" s="4" t="s">
        <v>61</v>
      </c>
      <c r="C7" s="7" t="s">
        <v>62</v>
      </c>
      <c r="D7" s="7" t="s">
        <v>63</v>
      </c>
      <c r="E7" s="7" t="s">
        <v>64</v>
      </c>
    </row>
    <row r="8" customFormat="false" ht="57.75" hidden="false" customHeight="true" outlineLevel="0" collapsed="false">
      <c r="A8" s="12" t="n">
        <v>4</v>
      </c>
      <c r="B8" s="4" t="s">
        <v>65</v>
      </c>
      <c r="C8" s="7" t="s">
        <v>66</v>
      </c>
      <c r="D8" s="7" t="s">
        <v>67</v>
      </c>
      <c r="E8" s="7" t="s">
        <v>68</v>
      </c>
    </row>
    <row r="9" customFormat="false" ht="57.75" hidden="false" customHeight="true" outlineLevel="0" collapsed="false">
      <c r="A9" s="12" t="n">
        <v>5</v>
      </c>
      <c r="B9" s="4" t="s">
        <v>69</v>
      </c>
      <c r="C9" s="7" t="s">
        <v>70</v>
      </c>
      <c r="D9" s="7" t="s">
        <v>71</v>
      </c>
      <c r="E9" s="7" t="s">
        <v>60</v>
      </c>
    </row>
    <row r="10" customFormat="false" ht="57.75" hidden="false" customHeight="true" outlineLevel="0" collapsed="false">
      <c r="A10" s="12" t="n">
        <v>6</v>
      </c>
      <c r="B10" s="4" t="s">
        <v>72</v>
      </c>
      <c r="C10" s="7" t="s">
        <v>73</v>
      </c>
      <c r="D10" s="7" t="s">
        <v>74</v>
      </c>
      <c r="E10" s="7" t="s">
        <v>75</v>
      </c>
    </row>
    <row r="11" customFormat="false" ht="57.75" hidden="false" customHeight="true" outlineLevel="0" collapsed="false">
      <c r="A11" s="12" t="n">
        <v>7</v>
      </c>
      <c r="B11" s="4" t="s">
        <v>76</v>
      </c>
      <c r="C11" s="7" t="s">
        <v>77</v>
      </c>
      <c r="D11" s="7" t="s">
        <v>78</v>
      </c>
      <c r="E11" s="7" t="s">
        <v>79</v>
      </c>
    </row>
    <row r="12" customFormat="false" ht="57.75" hidden="false" customHeight="true" outlineLevel="0" collapsed="false">
      <c r="A12" s="12" t="n">
        <v>8</v>
      </c>
      <c r="B12" s="4" t="s">
        <v>80</v>
      </c>
      <c r="C12" s="7" t="s">
        <v>81</v>
      </c>
      <c r="D12" s="7" t="s">
        <v>82</v>
      </c>
      <c r="E12" s="7" t="s">
        <v>83</v>
      </c>
    </row>
    <row r="13" customFormat="false" ht="57.75" hidden="false" customHeight="true" outlineLevel="0" collapsed="false">
      <c r="A13" s="12" t="n">
        <v>9</v>
      </c>
      <c r="B13" s="4" t="s">
        <v>84</v>
      </c>
      <c r="C13" s="7" t="s">
        <v>85</v>
      </c>
      <c r="D13" s="7" t="s">
        <v>86</v>
      </c>
      <c r="E13" s="7" t="s">
        <v>87</v>
      </c>
    </row>
    <row r="14" customFormat="false" ht="57.75" hidden="false" customHeight="true" outlineLevel="0" collapsed="false">
      <c r="A14" s="12" t="n">
        <v>10</v>
      </c>
      <c r="B14" s="4" t="s">
        <v>88</v>
      </c>
      <c r="C14" s="7" t="s">
        <v>89</v>
      </c>
      <c r="D14" s="7" t="s">
        <v>90</v>
      </c>
      <c r="E14" s="7" t="s">
        <v>91</v>
      </c>
    </row>
    <row r="15" customFormat="false" ht="57.75" hidden="false" customHeight="true" outlineLevel="0" collapsed="false">
      <c r="A15" s="12" t="n">
        <v>11</v>
      </c>
      <c r="B15" s="4" t="s">
        <v>92</v>
      </c>
      <c r="C15" s="7" t="s">
        <v>93</v>
      </c>
      <c r="D15" s="7" t="s">
        <v>94</v>
      </c>
      <c r="E15" s="7" t="s">
        <v>95</v>
      </c>
    </row>
    <row r="16" customFormat="false" ht="57.75" hidden="false" customHeight="true" outlineLevel="0" collapsed="false">
      <c r="A16" s="12" t="n">
        <v>12</v>
      </c>
      <c r="B16" s="5"/>
      <c r="C16" s="5"/>
      <c r="D16" s="5"/>
      <c r="E16" s="7" t="s">
        <v>96</v>
      </c>
    </row>
    <row r="17" customFormat="false" ht="57.75" hidden="false" customHeight="true" outlineLevel="0" collapsed="false">
      <c r="A17" s="12" t="n">
        <v>13</v>
      </c>
      <c r="B17" s="5"/>
      <c r="C17" s="5"/>
      <c r="D17" s="5"/>
      <c r="E17" s="7" t="s">
        <v>96</v>
      </c>
    </row>
    <row r="18" customFormat="false" ht="57.75" hidden="false" customHeight="true" outlineLevel="0" collapsed="false">
      <c r="A18" s="12" t="n">
        <v>14</v>
      </c>
      <c r="B18" s="5"/>
      <c r="C18" s="5"/>
      <c r="D18" s="5"/>
      <c r="E18" s="7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2B47"/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54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30" hidden="false" customHeight="true" outlineLevel="0" collapsed="false">
      <c r="A4" s="11" t="s">
        <v>99</v>
      </c>
      <c r="B4" s="11" t="s">
        <v>49</v>
      </c>
      <c r="C4" s="11" t="s">
        <v>33</v>
      </c>
      <c r="D4" s="11" t="s">
        <v>9</v>
      </c>
      <c r="E4" s="11" t="s">
        <v>100</v>
      </c>
      <c r="F4" s="11" t="s">
        <v>36</v>
      </c>
      <c r="G4" s="11" t="s">
        <v>101</v>
      </c>
      <c r="H4" s="11" t="s">
        <v>25</v>
      </c>
    </row>
    <row r="5" customFormat="false" ht="15" hidden="false" customHeight="false" outlineLevel="0" collapsed="false">
      <c r="A5" s="13" t="str">
        <f aca="false">"Testeur 1 : "&amp;IF('Lisez-moi'!B13="","(nom à inscrire dans Lisez-moi)",'Lisez-moi'!B13)</f>
        <v>Testeur 1 : (nom à inscrire dans Lisez-moi)</v>
      </c>
      <c r="B5" s="13"/>
      <c r="C5" s="13"/>
      <c r="D5" s="13"/>
      <c r="E5" s="13"/>
      <c r="F5" s="13"/>
      <c r="G5" s="13"/>
      <c r="H5" s="13"/>
    </row>
    <row r="6" customFormat="false" ht="31.5" hidden="false" customHeight="true" outlineLevel="0" collapsed="false">
      <c r="A6" s="12" t="s">
        <v>102</v>
      </c>
      <c r="B6" s="12" t="n">
        <v>1</v>
      </c>
      <c r="C6" s="7" t="str">
        <f aca="false">IF(INDEX(Scénarios!$B$5:$B$18,1)="","(scénario personnel à définir)",INDEX(Scénarios!$B$5:$B$18,1))</f>
        <v>Première impression</v>
      </c>
      <c r="D6" s="7" t="str">
        <f aca="false">IF('Lisez-moi'!$B$13="","Testeur 1",'Lisez-moi'!$B$13)</f>
        <v>Testeur 1</v>
      </c>
      <c r="E6" s="7" t="str">
        <f aca="false">TRIM('Lisez-moi'!$C$13&amp;" "&amp;'Lisez-moi'!$D$13)</f>
        <v/>
      </c>
      <c r="F6" s="14"/>
      <c r="G6" s="5"/>
      <c r="H6" s="14"/>
    </row>
    <row r="7" customFormat="false" ht="31.5" hidden="false" customHeight="true" outlineLevel="0" collapsed="false">
      <c r="A7" s="12" t="s">
        <v>103</v>
      </c>
      <c r="B7" s="12" t="n">
        <v>2</v>
      </c>
      <c r="C7" s="7" t="str">
        <f aca="false">IF(INDEX(Scénarios!$B$5:$B$18,2)="","(scénario personnel à définir)",INDEX(Scénarios!$B$5:$B$18,2))</f>
        <v>Navigation par le menu</v>
      </c>
      <c r="D7" s="7" t="str">
        <f aca="false">IF('Lisez-moi'!$B$13="","Testeur 1",'Lisez-moi'!$B$13)</f>
        <v>Testeur 1</v>
      </c>
      <c r="E7" s="7" t="str">
        <f aca="false">TRIM('Lisez-moi'!$C$13&amp;" "&amp;'Lisez-moi'!$D$13)</f>
        <v/>
      </c>
      <c r="F7" s="14"/>
      <c r="G7" s="5"/>
      <c r="H7" s="14"/>
    </row>
    <row r="8" customFormat="false" ht="31.5" hidden="false" customHeight="true" outlineLevel="0" collapsed="false">
      <c r="A8" s="12" t="s">
        <v>104</v>
      </c>
      <c r="B8" s="12" t="n">
        <v>3</v>
      </c>
      <c r="C8" s="7" t="str">
        <f aca="false">IF(INDEX(Scénarios!$B$5:$B$18,3)="","(scénario personnel à définir)",INDEX(Scénarios!$B$5:$B$18,3))</f>
        <v>Liste des projets</v>
      </c>
      <c r="D8" s="7" t="str">
        <f aca="false">IF('Lisez-moi'!$B$13="","Testeur 1",'Lisez-moi'!$B$13)</f>
        <v>Testeur 1</v>
      </c>
      <c r="E8" s="7" t="str">
        <f aca="false">TRIM('Lisez-moi'!$C$13&amp;" "&amp;'Lisez-moi'!$D$13)</f>
        <v/>
      </c>
      <c r="F8" s="14"/>
      <c r="G8" s="5"/>
      <c r="H8" s="14"/>
    </row>
    <row r="9" customFormat="false" ht="31.5" hidden="false" customHeight="true" outlineLevel="0" collapsed="false">
      <c r="A9" s="12" t="s">
        <v>105</v>
      </c>
      <c r="B9" s="12" t="n">
        <v>4</v>
      </c>
      <c r="C9" s="7" t="str">
        <f aca="false">IF(INDEX(Scénarios!$B$5:$B$18,4)="","(scénario personnel à définir)",INDEX(Scénarios!$B$5:$B$18,4))</f>
        <v>Détail d'un projet</v>
      </c>
      <c r="D9" s="7" t="str">
        <f aca="false">IF('Lisez-moi'!$B$13="","Testeur 1",'Lisez-moi'!$B$13)</f>
        <v>Testeur 1</v>
      </c>
      <c r="E9" s="7" t="str">
        <f aca="false">TRIM('Lisez-moi'!$C$13&amp;" "&amp;'Lisez-moi'!$D$13)</f>
        <v/>
      </c>
      <c r="F9" s="14"/>
      <c r="G9" s="5"/>
      <c r="H9" s="14"/>
    </row>
    <row r="10" customFormat="false" ht="31.5" hidden="false" customHeight="true" outlineLevel="0" collapsed="false">
      <c r="A10" s="12" t="s">
        <v>106</v>
      </c>
      <c r="B10" s="12" t="n">
        <v>5</v>
      </c>
      <c r="C10" s="7" t="str">
        <f aca="false">IF(INDEX(Scénarios!$B$5:$B$18,5)="","(scénario personnel à définir)",INDEX(Scénarios!$B$5:$B$18,5))</f>
        <v>Liens externes et contact</v>
      </c>
      <c r="D10" s="7" t="str">
        <f aca="false">IF('Lisez-moi'!$B$13="","Testeur 1",'Lisez-moi'!$B$13)</f>
        <v>Testeur 1</v>
      </c>
      <c r="E10" s="7" t="str">
        <f aca="false">TRIM('Lisez-moi'!$C$13&amp;" "&amp;'Lisez-moi'!$D$13)</f>
        <v/>
      </c>
      <c r="F10" s="14"/>
      <c r="G10" s="5"/>
      <c r="H10" s="14"/>
    </row>
    <row r="11" customFormat="false" ht="31.5" hidden="false" customHeight="true" outlineLevel="0" collapsed="false">
      <c r="A11" s="12" t="s">
        <v>107</v>
      </c>
      <c r="B11" s="12" t="n">
        <v>6</v>
      </c>
      <c r="C11" s="7" t="str">
        <f aca="false">IF(INDEX(Scénarios!$B$5:$B$18,6)="","(scénario personnel à définir)",INDEX(Scénarios!$B$5:$B$18,6))</f>
        <v>Version mobile</v>
      </c>
      <c r="D11" s="7" t="str">
        <f aca="false">IF('Lisez-moi'!$B$13="","Testeur 1",'Lisez-moi'!$B$13)</f>
        <v>Testeur 1</v>
      </c>
      <c r="E11" s="7" t="str">
        <f aca="false">TRIM('Lisez-moi'!$C$13&amp;" "&amp;'Lisez-moi'!$D$13)</f>
        <v/>
      </c>
      <c r="F11" s="14"/>
      <c r="G11" s="5"/>
      <c r="H11" s="14"/>
    </row>
    <row r="12" customFormat="false" ht="31.5" hidden="false" customHeight="true" outlineLevel="0" collapsed="false">
      <c r="A12" s="12" t="s">
        <v>108</v>
      </c>
      <c r="B12" s="12" t="n">
        <v>7</v>
      </c>
      <c r="C12" s="7" t="str">
        <f aca="false">IF(INDEX(Scénarios!$B$5:$B$18,7)="","(scénario personnel à définir)",INDEX(Scénarios!$B$5:$B$18,7))</f>
        <v>Navigation au clavier</v>
      </c>
      <c r="D12" s="7" t="str">
        <f aca="false">IF('Lisez-moi'!$B$13="","Testeur 1",'Lisez-moi'!$B$13)</f>
        <v>Testeur 1</v>
      </c>
      <c r="E12" s="7" t="str">
        <f aca="false">TRIM('Lisez-moi'!$C$13&amp;" "&amp;'Lisez-moi'!$D$13)</f>
        <v/>
      </c>
      <c r="F12" s="14"/>
      <c r="G12" s="5"/>
      <c r="H12" s="14"/>
    </row>
    <row r="13" customFormat="false" ht="31.5" hidden="false" customHeight="true" outlineLevel="0" collapsed="false">
      <c r="A13" s="12" t="s">
        <v>109</v>
      </c>
      <c r="B13" s="12" t="n">
        <v>8</v>
      </c>
      <c r="C13" s="7" t="str">
        <f aca="false">IF(INDEX(Scénarios!$B$5:$B$18,8)="","(scénario personnel à définir)",INDEX(Scénarios!$B$5:$B$18,8))</f>
        <v>Contraste des textes</v>
      </c>
      <c r="D13" s="7" t="str">
        <f aca="false">IF('Lisez-moi'!$B$13="","Testeur 1",'Lisez-moi'!$B$13)</f>
        <v>Testeur 1</v>
      </c>
      <c r="E13" s="7" t="str">
        <f aca="false">TRIM('Lisez-moi'!$C$13&amp;" "&amp;'Lisez-moi'!$D$13)</f>
        <v/>
      </c>
      <c r="F13" s="14"/>
      <c r="G13" s="5"/>
      <c r="H13" s="14"/>
    </row>
    <row r="14" customFormat="false" ht="31.5" hidden="false" customHeight="true" outlineLevel="0" collapsed="false">
      <c r="A14" s="12" t="s">
        <v>110</v>
      </c>
      <c r="B14" s="12" t="n">
        <v>9</v>
      </c>
      <c r="C14" s="7" t="str">
        <f aca="false">IF(INDEX(Scénarios!$B$5:$B$18,9)="","(scénario personnel à définir)",INDEX(Scénarios!$B$5:$B$18,9))</f>
        <v>Structure et textes alternatifs</v>
      </c>
      <c r="D14" s="7" t="str">
        <f aca="false">IF('Lisez-moi'!$B$13="","Testeur 1",'Lisez-moi'!$B$13)</f>
        <v>Testeur 1</v>
      </c>
      <c r="E14" s="7" t="str">
        <f aca="false">TRIM('Lisez-moi'!$C$13&amp;" "&amp;'Lisez-moi'!$D$13)</f>
        <v/>
      </c>
      <c r="F14" s="14"/>
      <c r="G14" s="5"/>
      <c r="H14" s="14"/>
    </row>
    <row r="15" customFormat="false" ht="31.5" hidden="false" customHeight="true" outlineLevel="0" collapsed="false">
      <c r="A15" s="12" t="s">
        <v>111</v>
      </c>
      <c r="B15" s="12" t="n">
        <v>10</v>
      </c>
      <c r="C15" s="7" t="str">
        <f aca="false">IF(INDEX(Scénarios!$B$5:$B$18,10)="","(scénario personnel à définir)",INDEX(Scénarios!$B$5:$B$18,10))</f>
        <v>Console et réseau</v>
      </c>
      <c r="D15" s="7" t="str">
        <f aca="false">IF('Lisez-moi'!$B$13="","Testeur 1",'Lisez-moi'!$B$13)</f>
        <v>Testeur 1</v>
      </c>
      <c r="E15" s="7" t="str">
        <f aca="false">TRIM('Lisez-moi'!$C$13&amp;" "&amp;'Lisez-moi'!$D$13)</f>
        <v/>
      </c>
      <c r="F15" s="14"/>
      <c r="G15" s="5"/>
      <c r="H15" s="14"/>
    </row>
    <row r="16" customFormat="false" ht="31.5" hidden="false" customHeight="true" outlineLevel="0" collapsed="false">
      <c r="A16" s="12" t="s">
        <v>112</v>
      </c>
      <c r="B16" s="12" t="n">
        <v>11</v>
      </c>
      <c r="C16" s="7" t="str">
        <f aca="false">IF(INDEX(Scénarios!$B$5:$B$18,11)="","(scénario personnel à définir)",INDEX(Scénarios!$B$5:$B$18,11))</f>
        <v>Chargement sur connexion lente</v>
      </c>
      <c r="D16" s="7" t="str">
        <f aca="false">IF('Lisez-moi'!$B$13="","Testeur 1",'Lisez-moi'!$B$13)</f>
        <v>Testeur 1</v>
      </c>
      <c r="E16" s="7" t="str">
        <f aca="false">TRIM('Lisez-moi'!$C$13&amp;" "&amp;'Lisez-moi'!$D$13)</f>
        <v/>
      </c>
      <c r="F16" s="14"/>
      <c r="G16" s="5"/>
      <c r="H16" s="14"/>
    </row>
    <row r="17" customFormat="false" ht="31.5" hidden="false" customHeight="true" outlineLevel="0" collapsed="false">
      <c r="A17" s="12" t="s">
        <v>113</v>
      </c>
      <c r="B17" s="12" t="n">
        <v>12</v>
      </c>
      <c r="C17" s="7" t="str">
        <f aca="false">IF(INDEX(Scénarios!$B$5:$B$18,12)="","(scénario personnel à définir)",INDEX(Scénarios!$B$5:$B$18,12))</f>
        <v>(scénario personnel à définir)</v>
      </c>
      <c r="D17" s="7" t="str">
        <f aca="false">IF('Lisez-moi'!$B$13="","Testeur 1",'Lisez-moi'!$B$13)</f>
        <v>Testeur 1</v>
      </c>
      <c r="E17" s="7" t="str">
        <f aca="false">TRIM('Lisez-moi'!$C$13&amp;" "&amp;'Lisez-moi'!$D$13)</f>
        <v/>
      </c>
      <c r="F17" s="14"/>
      <c r="G17" s="5"/>
      <c r="H17" s="14"/>
    </row>
    <row r="18" customFormat="false" ht="31.5" hidden="false" customHeight="true" outlineLevel="0" collapsed="false">
      <c r="A18" s="12" t="s">
        <v>114</v>
      </c>
      <c r="B18" s="12" t="n">
        <v>13</v>
      </c>
      <c r="C18" s="7" t="str">
        <f aca="false">IF(INDEX(Scénarios!$B$5:$B$18,13)="","(scénario personnel à définir)",INDEX(Scénarios!$B$5:$B$18,13))</f>
        <v>(scénario personnel à définir)</v>
      </c>
      <c r="D18" s="7" t="str">
        <f aca="false">IF('Lisez-moi'!$B$13="","Testeur 1",'Lisez-moi'!$B$13)</f>
        <v>Testeur 1</v>
      </c>
      <c r="E18" s="7" t="str">
        <f aca="false">TRIM('Lisez-moi'!$C$13&amp;" "&amp;'Lisez-moi'!$D$13)</f>
        <v/>
      </c>
      <c r="F18" s="14"/>
      <c r="G18" s="5"/>
      <c r="H18" s="14"/>
    </row>
    <row r="19" customFormat="false" ht="31.5" hidden="false" customHeight="true" outlineLevel="0" collapsed="false">
      <c r="A19" s="12" t="s">
        <v>115</v>
      </c>
      <c r="B19" s="12" t="n">
        <v>14</v>
      </c>
      <c r="C19" s="7" t="str">
        <f aca="false">IF(INDEX(Scénarios!$B$5:$B$18,14)="","(scénario personnel à définir)",INDEX(Scénarios!$B$5:$B$18,14))</f>
        <v>(scénario personnel à définir)</v>
      </c>
      <c r="D19" s="7" t="str">
        <f aca="false">IF('Lisez-moi'!$B$13="","Testeur 1",'Lisez-moi'!$B$13)</f>
        <v>Testeur 1</v>
      </c>
      <c r="E19" s="7" t="str">
        <f aca="false">TRIM('Lisez-moi'!$C$13&amp;" "&amp;'Lisez-moi'!$D$13)</f>
        <v/>
      </c>
      <c r="F19" s="14"/>
      <c r="G19" s="5"/>
      <c r="H19" s="14"/>
    </row>
    <row r="20" customFormat="false" ht="15" hidden="false" customHeight="false" outlineLevel="0" collapsed="false">
      <c r="A20" s="13" t="str">
        <f aca="false">"Testeur 2 : "&amp;IF('Lisez-moi'!B14="","(nom à inscrire dans Lisez-moi)",'Lisez-moi'!B14)</f>
        <v>Testeur 2 : (nom à inscrire dans Lisez-moi)</v>
      </c>
      <c r="B20" s="13"/>
      <c r="C20" s="13"/>
      <c r="D20" s="13"/>
      <c r="E20" s="13"/>
      <c r="F20" s="13"/>
      <c r="G20" s="13"/>
      <c r="H20" s="13"/>
    </row>
    <row r="21" customFormat="false" ht="31.5" hidden="false" customHeight="true" outlineLevel="0" collapsed="false">
      <c r="A21" s="12" t="s">
        <v>116</v>
      </c>
      <c r="B21" s="12" t="n">
        <v>1</v>
      </c>
      <c r="C21" s="7" t="str">
        <f aca="false">IF(INDEX(Scénarios!$B$5:$B$18,1)="","(scénario personnel à définir)",INDEX(Scénarios!$B$5:$B$18,1))</f>
        <v>Première impression</v>
      </c>
      <c r="D21" s="7" t="str">
        <f aca="false">IF('Lisez-moi'!$B$14="","Testeur 2",'Lisez-moi'!$B$14)</f>
        <v>Testeur 2</v>
      </c>
      <c r="E21" s="7" t="str">
        <f aca="false">TRIM('Lisez-moi'!$C$14&amp;" "&amp;'Lisez-moi'!$D$14)</f>
        <v/>
      </c>
      <c r="F21" s="14"/>
      <c r="G21" s="5"/>
      <c r="H21" s="14"/>
    </row>
    <row r="22" customFormat="false" ht="31.5" hidden="false" customHeight="true" outlineLevel="0" collapsed="false">
      <c r="A22" s="12" t="s">
        <v>117</v>
      </c>
      <c r="B22" s="12" t="n">
        <v>2</v>
      </c>
      <c r="C22" s="7" t="str">
        <f aca="false">IF(INDEX(Scénarios!$B$5:$B$18,2)="","(scénario personnel à définir)",INDEX(Scénarios!$B$5:$B$18,2))</f>
        <v>Navigation par le menu</v>
      </c>
      <c r="D22" s="7" t="str">
        <f aca="false">IF('Lisez-moi'!$B$14="","Testeur 2",'Lisez-moi'!$B$14)</f>
        <v>Testeur 2</v>
      </c>
      <c r="E22" s="7" t="str">
        <f aca="false">TRIM('Lisez-moi'!$C$14&amp;" "&amp;'Lisez-moi'!$D$14)</f>
        <v/>
      </c>
      <c r="F22" s="14"/>
      <c r="G22" s="5"/>
      <c r="H22" s="14"/>
    </row>
    <row r="23" customFormat="false" ht="31.5" hidden="false" customHeight="true" outlineLevel="0" collapsed="false">
      <c r="A23" s="12" t="s">
        <v>118</v>
      </c>
      <c r="B23" s="12" t="n">
        <v>3</v>
      </c>
      <c r="C23" s="7" t="str">
        <f aca="false">IF(INDEX(Scénarios!$B$5:$B$18,3)="","(scénario personnel à définir)",INDEX(Scénarios!$B$5:$B$18,3))</f>
        <v>Liste des projets</v>
      </c>
      <c r="D23" s="7" t="str">
        <f aca="false">IF('Lisez-moi'!$B$14="","Testeur 2",'Lisez-moi'!$B$14)</f>
        <v>Testeur 2</v>
      </c>
      <c r="E23" s="7" t="str">
        <f aca="false">TRIM('Lisez-moi'!$C$14&amp;" "&amp;'Lisez-moi'!$D$14)</f>
        <v/>
      </c>
      <c r="F23" s="14"/>
      <c r="G23" s="5"/>
      <c r="H23" s="14"/>
    </row>
    <row r="24" customFormat="false" ht="31.5" hidden="false" customHeight="true" outlineLevel="0" collapsed="false">
      <c r="A24" s="12" t="s">
        <v>119</v>
      </c>
      <c r="B24" s="12" t="n">
        <v>4</v>
      </c>
      <c r="C24" s="7" t="str">
        <f aca="false">IF(INDEX(Scénarios!$B$5:$B$18,4)="","(scénario personnel à définir)",INDEX(Scénarios!$B$5:$B$18,4))</f>
        <v>Détail d'un projet</v>
      </c>
      <c r="D24" s="7" t="str">
        <f aca="false">IF('Lisez-moi'!$B$14="","Testeur 2",'Lisez-moi'!$B$14)</f>
        <v>Testeur 2</v>
      </c>
      <c r="E24" s="7" t="str">
        <f aca="false">TRIM('Lisez-moi'!$C$14&amp;" "&amp;'Lisez-moi'!$D$14)</f>
        <v/>
      </c>
      <c r="F24" s="14"/>
      <c r="G24" s="5"/>
      <c r="H24" s="14"/>
    </row>
    <row r="25" customFormat="false" ht="31.5" hidden="false" customHeight="true" outlineLevel="0" collapsed="false">
      <c r="A25" s="12" t="s">
        <v>120</v>
      </c>
      <c r="B25" s="12" t="n">
        <v>5</v>
      </c>
      <c r="C25" s="7" t="str">
        <f aca="false">IF(INDEX(Scénarios!$B$5:$B$18,5)="","(scénario personnel à définir)",INDEX(Scénarios!$B$5:$B$18,5))</f>
        <v>Liens externes et contact</v>
      </c>
      <c r="D25" s="7" t="str">
        <f aca="false">IF('Lisez-moi'!$B$14="","Testeur 2",'Lisez-moi'!$B$14)</f>
        <v>Testeur 2</v>
      </c>
      <c r="E25" s="7" t="str">
        <f aca="false">TRIM('Lisez-moi'!$C$14&amp;" "&amp;'Lisez-moi'!$D$14)</f>
        <v/>
      </c>
      <c r="F25" s="14"/>
      <c r="G25" s="5"/>
      <c r="H25" s="14"/>
    </row>
    <row r="26" customFormat="false" ht="31.5" hidden="false" customHeight="true" outlineLevel="0" collapsed="false">
      <c r="A26" s="12" t="s">
        <v>121</v>
      </c>
      <c r="B26" s="12" t="n">
        <v>6</v>
      </c>
      <c r="C26" s="7" t="str">
        <f aca="false">IF(INDEX(Scénarios!$B$5:$B$18,6)="","(scénario personnel à définir)",INDEX(Scénarios!$B$5:$B$18,6))</f>
        <v>Version mobile</v>
      </c>
      <c r="D26" s="7" t="str">
        <f aca="false">IF('Lisez-moi'!$B$14="","Testeur 2",'Lisez-moi'!$B$14)</f>
        <v>Testeur 2</v>
      </c>
      <c r="E26" s="7" t="str">
        <f aca="false">TRIM('Lisez-moi'!$C$14&amp;" "&amp;'Lisez-moi'!$D$14)</f>
        <v/>
      </c>
      <c r="F26" s="14"/>
      <c r="G26" s="5"/>
      <c r="H26" s="14"/>
    </row>
    <row r="27" customFormat="false" ht="31.5" hidden="false" customHeight="true" outlineLevel="0" collapsed="false">
      <c r="A27" s="12" t="s">
        <v>122</v>
      </c>
      <c r="B27" s="12" t="n">
        <v>7</v>
      </c>
      <c r="C27" s="7" t="str">
        <f aca="false">IF(INDEX(Scénarios!$B$5:$B$18,7)="","(scénario personnel à définir)",INDEX(Scénarios!$B$5:$B$18,7))</f>
        <v>Navigation au clavier</v>
      </c>
      <c r="D27" s="7" t="str">
        <f aca="false">IF('Lisez-moi'!$B$14="","Testeur 2",'Lisez-moi'!$B$14)</f>
        <v>Testeur 2</v>
      </c>
      <c r="E27" s="7" t="str">
        <f aca="false">TRIM('Lisez-moi'!$C$14&amp;" "&amp;'Lisez-moi'!$D$14)</f>
        <v/>
      </c>
      <c r="F27" s="14"/>
      <c r="G27" s="5"/>
      <c r="H27" s="14"/>
    </row>
    <row r="28" customFormat="false" ht="31.5" hidden="false" customHeight="true" outlineLevel="0" collapsed="false">
      <c r="A28" s="12" t="s">
        <v>123</v>
      </c>
      <c r="B28" s="12" t="n">
        <v>8</v>
      </c>
      <c r="C28" s="7" t="str">
        <f aca="false">IF(INDEX(Scénarios!$B$5:$B$18,8)="","(scénario personnel à définir)",INDEX(Scénarios!$B$5:$B$18,8))</f>
        <v>Contraste des textes</v>
      </c>
      <c r="D28" s="7" t="str">
        <f aca="false">IF('Lisez-moi'!$B$14="","Testeur 2",'Lisez-moi'!$B$14)</f>
        <v>Testeur 2</v>
      </c>
      <c r="E28" s="7" t="str">
        <f aca="false">TRIM('Lisez-moi'!$C$14&amp;" "&amp;'Lisez-moi'!$D$14)</f>
        <v/>
      </c>
      <c r="F28" s="14"/>
      <c r="G28" s="5"/>
      <c r="H28" s="14"/>
    </row>
    <row r="29" customFormat="false" ht="31.5" hidden="false" customHeight="true" outlineLevel="0" collapsed="false">
      <c r="A29" s="12" t="s">
        <v>124</v>
      </c>
      <c r="B29" s="12" t="n">
        <v>9</v>
      </c>
      <c r="C29" s="7" t="str">
        <f aca="false">IF(INDEX(Scénarios!$B$5:$B$18,9)="","(scénario personnel à définir)",INDEX(Scénarios!$B$5:$B$18,9))</f>
        <v>Structure et textes alternatifs</v>
      </c>
      <c r="D29" s="7" t="str">
        <f aca="false">IF('Lisez-moi'!$B$14="","Testeur 2",'Lisez-moi'!$B$14)</f>
        <v>Testeur 2</v>
      </c>
      <c r="E29" s="7" t="str">
        <f aca="false">TRIM('Lisez-moi'!$C$14&amp;" "&amp;'Lisez-moi'!$D$14)</f>
        <v/>
      </c>
      <c r="F29" s="14"/>
      <c r="G29" s="5"/>
      <c r="H29" s="14"/>
    </row>
    <row r="30" customFormat="false" ht="31.5" hidden="false" customHeight="true" outlineLevel="0" collapsed="false">
      <c r="A30" s="12" t="s">
        <v>125</v>
      </c>
      <c r="B30" s="12" t="n">
        <v>10</v>
      </c>
      <c r="C30" s="7" t="str">
        <f aca="false">IF(INDEX(Scénarios!$B$5:$B$18,10)="","(scénario personnel à définir)",INDEX(Scénarios!$B$5:$B$18,10))</f>
        <v>Console et réseau</v>
      </c>
      <c r="D30" s="7" t="str">
        <f aca="false">IF('Lisez-moi'!$B$14="","Testeur 2",'Lisez-moi'!$B$14)</f>
        <v>Testeur 2</v>
      </c>
      <c r="E30" s="7" t="str">
        <f aca="false">TRIM('Lisez-moi'!$C$14&amp;" "&amp;'Lisez-moi'!$D$14)</f>
        <v/>
      </c>
      <c r="F30" s="14"/>
      <c r="G30" s="5"/>
      <c r="H30" s="14"/>
    </row>
    <row r="31" customFormat="false" ht="31.5" hidden="false" customHeight="true" outlineLevel="0" collapsed="false">
      <c r="A31" s="12" t="s">
        <v>126</v>
      </c>
      <c r="B31" s="12" t="n">
        <v>11</v>
      </c>
      <c r="C31" s="7" t="str">
        <f aca="false">IF(INDEX(Scénarios!$B$5:$B$18,11)="","(scénario personnel à définir)",INDEX(Scénarios!$B$5:$B$18,11))</f>
        <v>Chargement sur connexion lente</v>
      </c>
      <c r="D31" s="7" t="str">
        <f aca="false">IF('Lisez-moi'!$B$14="","Testeur 2",'Lisez-moi'!$B$14)</f>
        <v>Testeur 2</v>
      </c>
      <c r="E31" s="7" t="str">
        <f aca="false">TRIM('Lisez-moi'!$C$14&amp;" "&amp;'Lisez-moi'!$D$14)</f>
        <v/>
      </c>
      <c r="F31" s="14"/>
      <c r="G31" s="5"/>
      <c r="H31" s="14"/>
    </row>
    <row r="32" customFormat="false" ht="31.5" hidden="false" customHeight="true" outlineLevel="0" collapsed="false">
      <c r="A32" s="12" t="s">
        <v>127</v>
      </c>
      <c r="B32" s="12" t="n">
        <v>12</v>
      </c>
      <c r="C32" s="7" t="str">
        <f aca="false">IF(INDEX(Scénarios!$B$5:$B$18,12)="","(scénario personnel à définir)",INDEX(Scénarios!$B$5:$B$18,12))</f>
        <v>(scénario personnel à définir)</v>
      </c>
      <c r="D32" s="7" t="str">
        <f aca="false">IF('Lisez-moi'!$B$14="","Testeur 2",'Lisez-moi'!$B$14)</f>
        <v>Testeur 2</v>
      </c>
      <c r="E32" s="7" t="str">
        <f aca="false">TRIM('Lisez-moi'!$C$14&amp;" "&amp;'Lisez-moi'!$D$14)</f>
        <v/>
      </c>
      <c r="F32" s="14"/>
      <c r="G32" s="5"/>
      <c r="H32" s="14"/>
    </row>
    <row r="33" customFormat="false" ht="31.5" hidden="false" customHeight="true" outlineLevel="0" collapsed="false">
      <c r="A33" s="12" t="s">
        <v>128</v>
      </c>
      <c r="B33" s="12" t="n">
        <v>13</v>
      </c>
      <c r="C33" s="7" t="str">
        <f aca="false">IF(INDEX(Scénarios!$B$5:$B$18,13)="","(scénario personnel à définir)",INDEX(Scénarios!$B$5:$B$18,13))</f>
        <v>(scénario personnel à définir)</v>
      </c>
      <c r="D33" s="7" t="str">
        <f aca="false">IF('Lisez-moi'!$B$14="","Testeur 2",'Lisez-moi'!$B$14)</f>
        <v>Testeur 2</v>
      </c>
      <c r="E33" s="7" t="str">
        <f aca="false">TRIM('Lisez-moi'!$C$14&amp;" "&amp;'Lisez-moi'!$D$14)</f>
        <v/>
      </c>
      <c r="F33" s="14"/>
      <c r="G33" s="5"/>
      <c r="H33" s="14"/>
    </row>
    <row r="34" customFormat="false" ht="31.5" hidden="false" customHeight="true" outlineLevel="0" collapsed="false">
      <c r="A34" s="12" t="s">
        <v>129</v>
      </c>
      <c r="B34" s="12" t="n">
        <v>14</v>
      </c>
      <c r="C34" s="7" t="str">
        <f aca="false">IF(INDEX(Scénarios!$B$5:$B$18,14)="","(scénario personnel à définir)",INDEX(Scénarios!$B$5:$B$18,14))</f>
        <v>(scénario personnel à définir)</v>
      </c>
      <c r="D34" s="7" t="str">
        <f aca="false">IF('Lisez-moi'!$B$14="","Testeur 2",'Lisez-moi'!$B$14)</f>
        <v>Testeur 2</v>
      </c>
      <c r="E34" s="7" t="str">
        <f aca="false">TRIM('Lisez-moi'!$C$14&amp;" "&amp;'Lisez-moi'!$D$14)</f>
        <v/>
      </c>
      <c r="F34" s="14"/>
      <c r="G34" s="5"/>
      <c r="H34" s="14"/>
    </row>
    <row r="35" customFormat="false" ht="15" hidden="false" customHeight="false" outlineLevel="0" collapsed="false">
      <c r="A35" s="13" t="str">
        <f aca="false">"Testeur 3 : "&amp;IF('Lisez-moi'!B15="","(nom à inscrire dans Lisez-moi)",'Lisez-moi'!B15)</f>
        <v>Testeur 3 : (nom à inscrire dans Lisez-moi)</v>
      </c>
      <c r="B35" s="13"/>
      <c r="C35" s="13"/>
      <c r="D35" s="13"/>
      <c r="E35" s="13"/>
      <c r="F35" s="13"/>
      <c r="G35" s="13"/>
      <c r="H35" s="13"/>
    </row>
    <row r="36" customFormat="false" ht="31.5" hidden="false" customHeight="true" outlineLevel="0" collapsed="false">
      <c r="A36" s="12" t="s">
        <v>130</v>
      </c>
      <c r="B36" s="12" t="n">
        <v>1</v>
      </c>
      <c r="C36" s="7" t="str">
        <f aca="false">IF(INDEX(Scénarios!$B$5:$B$18,1)="","(scénario personnel à définir)",INDEX(Scénarios!$B$5:$B$18,1))</f>
        <v>Première impression</v>
      </c>
      <c r="D36" s="7" t="str">
        <f aca="false">IF('Lisez-moi'!$B$15="","Testeur 3",'Lisez-moi'!$B$15)</f>
        <v>Testeur 3</v>
      </c>
      <c r="E36" s="7" t="str">
        <f aca="false">TRIM('Lisez-moi'!$C$15&amp;" "&amp;'Lisez-moi'!$D$15)</f>
        <v/>
      </c>
      <c r="F36" s="14"/>
      <c r="G36" s="5"/>
      <c r="H36" s="14"/>
    </row>
    <row r="37" customFormat="false" ht="31.5" hidden="false" customHeight="true" outlineLevel="0" collapsed="false">
      <c r="A37" s="12" t="s">
        <v>131</v>
      </c>
      <c r="B37" s="12" t="n">
        <v>2</v>
      </c>
      <c r="C37" s="7" t="str">
        <f aca="false">IF(INDEX(Scénarios!$B$5:$B$18,2)="","(scénario personnel à définir)",INDEX(Scénarios!$B$5:$B$18,2))</f>
        <v>Navigation par le menu</v>
      </c>
      <c r="D37" s="7" t="str">
        <f aca="false">IF('Lisez-moi'!$B$15="","Testeur 3",'Lisez-moi'!$B$15)</f>
        <v>Testeur 3</v>
      </c>
      <c r="E37" s="7" t="str">
        <f aca="false">TRIM('Lisez-moi'!$C$15&amp;" "&amp;'Lisez-moi'!$D$15)</f>
        <v/>
      </c>
      <c r="F37" s="14"/>
      <c r="G37" s="5"/>
      <c r="H37" s="14"/>
    </row>
    <row r="38" customFormat="false" ht="31.5" hidden="false" customHeight="true" outlineLevel="0" collapsed="false">
      <c r="A38" s="12" t="s">
        <v>132</v>
      </c>
      <c r="B38" s="12" t="n">
        <v>3</v>
      </c>
      <c r="C38" s="7" t="str">
        <f aca="false">IF(INDEX(Scénarios!$B$5:$B$18,3)="","(scénario personnel à définir)",INDEX(Scénarios!$B$5:$B$18,3))</f>
        <v>Liste des projets</v>
      </c>
      <c r="D38" s="7" t="str">
        <f aca="false">IF('Lisez-moi'!$B$15="","Testeur 3",'Lisez-moi'!$B$15)</f>
        <v>Testeur 3</v>
      </c>
      <c r="E38" s="7" t="str">
        <f aca="false">TRIM('Lisez-moi'!$C$15&amp;" "&amp;'Lisez-moi'!$D$15)</f>
        <v/>
      </c>
      <c r="F38" s="14"/>
      <c r="G38" s="5"/>
      <c r="H38" s="14"/>
    </row>
    <row r="39" customFormat="false" ht="31.5" hidden="false" customHeight="true" outlineLevel="0" collapsed="false">
      <c r="A39" s="12" t="s">
        <v>133</v>
      </c>
      <c r="B39" s="12" t="n">
        <v>4</v>
      </c>
      <c r="C39" s="7" t="str">
        <f aca="false">IF(INDEX(Scénarios!$B$5:$B$18,4)="","(scénario personnel à définir)",INDEX(Scénarios!$B$5:$B$18,4))</f>
        <v>Détail d'un projet</v>
      </c>
      <c r="D39" s="7" t="str">
        <f aca="false">IF('Lisez-moi'!$B$15="","Testeur 3",'Lisez-moi'!$B$15)</f>
        <v>Testeur 3</v>
      </c>
      <c r="E39" s="7" t="str">
        <f aca="false">TRIM('Lisez-moi'!$C$15&amp;" "&amp;'Lisez-moi'!$D$15)</f>
        <v/>
      </c>
      <c r="F39" s="14"/>
      <c r="G39" s="5"/>
      <c r="H39" s="14"/>
    </row>
    <row r="40" customFormat="false" ht="31.5" hidden="false" customHeight="true" outlineLevel="0" collapsed="false">
      <c r="A40" s="12" t="s">
        <v>134</v>
      </c>
      <c r="B40" s="12" t="n">
        <v>5</v>
      </c>
      <c r="C40" s="7" t="str">
        <f aca="false">IF(INDEX(Scénarios!$B$5:$B$18,5)="","(scénario personnel à définir)",INDEX(Scénarios!$B$5:$B$18,5))</f>
        <v>Liens externes et contact</v>
      </c>
      <c r="D40" s="7" t="str">
        <f aca="false">IF('Lisez-moi'!$B$15="","Testeur 3",'Lisez-moi'!$B$15)</f>
        <v>Testeur 3</v>
      </c>
      <c r="E40" s="7" t="str">
        <f aca="false">TRIM('Lisez-moi'!$C$15&amp;" "&amp;'Lisez-moi'!$D$15)</f>
        <v/>
      </c>
      <c r="F40" s="14"/>
      <c r="G40" s="5"/>
      <c r="H40" s="14"/>
    </row>
    <row r="41" customFormat="false" ht="31.5" hidden="false" customHeight="true" outlineLevel="0" collapsed="false">
      <c r="A41" s="12" t="s">
        <v>135</v>
      </c>
      <c r="B41" s="12" t="n">
        <v>6</v>
      </c>
      <c r="C41" s="7" t="str">
        <f aca="false">IF(INDEX(Scénarios!$B$5:$B$18,6)="","(scénario personnel à définir)",INDEX(Scénarios!$B$5:$B$18,6))</f>
        <v>Version mobile</v>
      </c>
      <c r="D41" s="7" t="str">
        <f aca="false">IF('Lisez-moi'!$B$15="","Testeur 3",'Lisez-moi'!$B$15)</f>
        <v>Testeur 3</v>
      </c>
      <c r="E41" s="7" t="str">
        <f aca="false">TRIM('Lisez-moi'!$C$15&amp;" "&amp;'Lisez-moi'!$D$15)</f>
        <v/>
      </c>
      <c r="F41" s="14"/>
      <c r="G41" s="5"/>
      <c r="H41" s="14"/>
    </row>
    <row r="42" customFormat="false" ht="31.5" hidden="false" customHeight="true" outlineLevel="0" collapsed="false">
      <c r="A42" s="12" t="s">
        <v>136</v>
      </c>
      <c r="B42" s="12" t="n">
        <v>7</v>
      </c>
      <c r="C42" s="7" t="str">
        <f aca="false">IF(INDEX(Scénarios!$B$5:$B$18,7)="","(scénario personnel à définir)",INDEX(Scénarios!$B$5:$B$18,7))</f>
        <v>Navigation au clavier</v>
      </c>
      <c r="D42" s="7" t="str">
        <f aca="false">IF('Lisez-moi'!$B$15="","Testeur 3",'Lisez-moi'!$B$15)</f>
        <v>Testeur 3</v>
      </c>
      <c r="E42" s="7" t="str">
        <f aca="false">TRIM('Lisez-moi'!$C$15&amp;" "&amp;'Lisez-moi'!$D$15)</f>
        <v/>
      </c>
      <c r="F42" s="14"/>
      <c r="G42" s="5"/>
      <c r="H42" s="14"/>
    </row>
    <row r="43" customFormat="false" ht="31.5" hidden="false" customHeight="true" outlineLevel="0" collapsed="false">
      <c r="A43" s="12" t="s">
        <v>137</v>
      </c>
      <c r="B43" s="12" t="n">
        <v>8</v>
      </c>
      <c r="C43" s="7" t="str">
        <f aca="false">IF(INDEX(Scénarios!$B$5:$B$18,8)="","(scénario personnel à définir)",INDEX(Scénarios!$B$5:$B$18,8))</f>
        <v>Contraste des textes</v>
      </c>
      <c r="D43" s="7" t="str">
        <f aca="false">IF('Lisez-moi'!$B$15="","Testeur 3",'Lisez-moi'!$B$15)</f>
        <v>Testeur 3</v>
      </c>
      <c r="E43" s="7" t="str">
        <f aca="false">TRIM('Lisez-moi'!$C$15&amp;" "&amp;'Lisez-moi'!$D$15)</f>
        <v/>
      </c>
      <c r="F43" s="14"/>
      <c r="G43" s="5"/>
      <c r="H43" s="14"/>
    </row>
    <row r="44" customFormat="false" ht="31.5" hidden="false" customHeight="true" outlineLevel="0" collapsed="false">
      <c r="A44" s="12" t="s">
        <v>138</v>
      </c>
      <c r="B44" s="12" t="n">
        <v>9</v>
      </c>
      <c r="C44" s="7" t="str">
        <f aca="false">IF(INDEX(Scénarios!$B$5:$B$18,9)="","(scénario personnel à définir)",INDEX(Scénarios!$B$5:$B$18,9))</f>
        <v>Structure et textes alternatifs</v>
      </c>
      <c r="D44" s="7" t="str">
        <f aca="false">IF('Lisez-moi'!$B$15="","Testeur 3",'Lisez-moi'!$B$15)</f>
        <v>Testeur 3</v>
      </c>
      <c r="E44" s="7" t="str">
        <f aca="false">TRIM('Lisez-moi'!$C$15&amp;" "&amp;'Lisez-moi'!$D$15)</f>
        <v/>
      </c>
      <c r="F44" s="14"/>
      <c r="G44" s="5"/>
      <c r="H44" s="14"/>
    </row>
    <row r="45" customFormat="false" ht="31.5" hidden="false" customHeight="true" outlineLevel="0" collapsed="false">
      <c r="A45" s="12" t="s">
        <v>139</v>
      </c>
      <c r="B45" s="12" t="n">
        <v>10</v>
      </c>
      <c r="C45" s="7" t="str">
        <f aca="false">IF(INDEX(Scénarios!$B$5:$B$18,10)="","(scénario personnel à définir)",INDEX(Scénarios!$B$5:$B$18,10))</f>
        <v>Console et réseau</v>
      </c>
      <c r="D45" s="7" t="str">
        <f aca="false">IF('Lisez-moi'!$B$15="","Testeur 3",'Lisez-moi'!$B$15)</f>
        <v>Testeur 3</v>
      </c>
      <c r="E45" s="7" t="str">
        <f aca="false">TRIM('Lisez-moi'!$C$15&amp;" "&amp;'Lisez-moi'!$D$15)</f>
        <v/>
      </c>
      <c r="F45" s="14"/>
      <c r="G45" s="5"/>
      <c r="H45" s="14"/>
    </row>
    <row r="46" customFormat="false" ht="31.5" hidden="false" customHeight="true" outlineLevel="0" collapsed="false">
      <c r="A46" s="12" t="s">
        <v>140</v>
      </c>
      <c r="B46" s="12" t="n">
        <v>11</v>
      </c>
      <c r="C46" s="7" t="str">
        <f aca="false">IF(INDEX(Scénarios!$B$5:$B$18,11)="","(scénario personnel à définir)",INDEX(Scénarios!$B$5:$B$18,11))</f>
        <v>Chargement sur connexion lente</v>
      </c>
      <c r="D46" s="7" t="str">
        <f aca="false">IF('Lisez-moi'!$B$15="","Testeur 3",'Lisez-moi'!$B$15)</f>
        <v>Testeur 3</v>
      </c>
      <c r="E46" s="7" t="str">
        <f aca="false">TRIM('Lisez-moi'!$C$15&amp;" "&amp;'Lisez-moi'!$D$15)</f>
        <v/>
      </c>
      <c r="F46" s="14"/>
      <c r="G46" s="5"/>
      <c r="H46" s="14"/>
    </row>
    <row r="47" customFormat="false" ht="31.5" hidden="false" customHeight="true" outlineLevel="0" collapsed="false">
      <c r="A47" s="12" t="s">
        <v>141</v>
      </c>
      <c r="B47" s="12" t="n">
        <v>12</v>
      </c>
      <c r="C47" s="7" t="str">
        <f aca="false">IF(INDEX(Scénarios!$B$5:$B$18,12)="","(scénario personnel à définir)",INDEX(Scénarios!$B$5:$B$18,12))</f>
        <v>(scénario personnel à définir)</v>
      </c>
      <c r="D47" s="7" t="str">
        <f aca="false">IF('Lisez-moi'!$B$15="","Testeur 3",'Lisez-moi'!$B$15)</f>
        <v>Testeur 3</v>
      </c>
      <c r="E47" s="7" t="str">
        <f aca="false">TRIM('Lisez-moi'!$C$15&amp;" "&amp;'Lisez-moi'!$D$15)</f>
        <v/>
      </c>
      <c r="F47" s="14"/>
      <c r="G47" s="5"/>
      <c r="H47" s="14"/>
    </row>
    <row r="48" customFormat="false" ht="31.5" hidden="false" customHeight="true" outlineLevel="0" collapsed="false">
      <c r="A48" s="12" t="s">
        <v>142</v>
      </c>
      <c r="B48" s="12" t="n">
        <v>13</v>
      </c>
      <c r="C48" s="7" t="str">
        <f aca="false">IF(INDEX(Scénarios!$B$5:$B$18,13)="","(scénario personnel à définir)",INDEX(Scénarios!$B$5:$B$18,13))</f>
        <v>(scénario personnel à définir)</v>
      </c>
      <c r="D48" s="7" t="str">
        <f aca="false">IF('Lisez-moi'!$B$15="","Testeur 3",'Lisez-moi'!$B$15)</f>
        <v>Testeur 3</v>
      </c>
      <c r="E48" s="7" t="str">
        <f aca="false">TRIM('Lisez-moi'!$C$15&amp;" "&amp;'Lisez-moi'!$D$15)</f>
        <v/>
      </c>
      <c r="F48" s="14"/>
      <c r="G48" s="5"/>
      <c r="H48" s="14"/>
    </row>
    <row r="49" customFormat="false" ht="31.5" hidden="false" customHeight="true" outlineLevel="0" collapsed="false">
      <c r="A49" s="12" t="s">
        <v>143</v>
      </c>
      <c r="B49" s="12" t="n">
        <v>14</v>
      </c>
      <c r="C49" s="7" t="str">
        <f aca="false">IF(INDEX(Scénarios!$B$5:$B$18,14)="","(scénario personnel à définir)",INDEX(Scénarios!$B$5:$B$18,14))</f>
        <v>(scénario personnel à définir)</v>
      </c>
      <c r="D49" s="7" t="str">
        <f aca="false">IF('Lisez-moi'!$B$15="","Testeur 3",'Lisez-moi'!$B$15)</f>
        <v>Testeur 3</v>
      </c>
      <c r="E49" s="7" t="str">
        <f aca="false">TRIM('Lisez-moi'!$C$15&amp;" "&amp;'Lisez-moi'!$D$15)</f>
        <v/>
      </c>
      <c r="F49" s="14"/>
      <c r="G49" s="5"/>
      <c r="H49" s="14"/>
    </row>
  </sheetData>
  <mergeCells count="3">
    <mergeCell ref="A5:H5"/>
    <mergeCell ref="A20:H20"/>
    <mergeCell ref="A35:H35"/>
  </mergeCells>
  <conditionalFormatting sqref="F5:F49">
    <cfRule type="expression" priority="2" aboveAverage="0" equalAverage="0" bottom="0" percent="0" rank="0" text="" dxfId="0">
      <formula>F5="Écart"</formula>
    </cfRule>
    <cfRule type="expression" priority="3" aboveAverage="0" equalAverage="0" bottom="0" percent="0" rank="0" text="" dxfId="1">
      <formula>F5="Conforme"</formula>
    </cfRule>
  </conditionalFormatting>
  <dataValidations count="2">
    <dataValidation allowBlank="true" errorStyle="stop" operator="between" showDropDown="false" showErrorMessage="false" showInputMessage="false" sqref="F6:F19 F21:F34 F36:F49" type="list">
      <formula1>"Conforme,Écart,Non testé"</formula1>
      <formula2>0</formula2>
    </dataValidation>
    <dataValidation allowBlank="true" errorStyle="stop" operator="between" showDropDown="false" showErrorMessage="false" showInputMessage="false" sqref="H6:H19 H21:H34 H36:H49" type="list">
      <formula1>"Bloquant,Majeur,Mineur"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2B47"/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44"/>
    <col collapsed="false" customWidth="true" hidden="false" outlineLevel="0" max="6" min="6" style="0" width="3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30" hidden="false" customHeight="true" outlineLevel="0" collapsed="false">
      <c r="A4" s="11" t="s">
        <v>146</v>
      </c>
      <c r="B4" s="11" t="s">
        <v>33</v>
      </c>
      <c r="C4" s="11" t="s">
        <v>147</v>
      </c>
      <c r="D4" s="11" t="s">
        <v>25</v>
      </c>
      <c r="E4" s="11" t="s">
        <v>148</v>
      </c>
      <c r="F4" s="11" t="s">
        <v>149</v>
      </c>
      <c r="G4" s="11" t="s">
        <v>150</v>
      </c>
      <c r="H4" s="11" t="s">
        <v>151</v>
      </c>
      <c r="I4" s="11" t="s">
        <v>152</v>
      </c>
    </row>
    <row r="5" customFormat="false" ht="31.5" hidden="false" customHeight="true" outlineLevel="0" collapsed="false">
      <c r="A5" s="14"/>
      <c r="B5" s="7" t="str">
        <f aca="false">IF(A5="","",IFERROR(INDEX(Tests!$C$5:$C$49,MATCH(A5,Tests!$A$5:$A$49,0)),"ID introuvable"))</f>
        <v/>
      </c>
      <c r="C5" s="7" t="str">
        <f aca="false">IF(A5="","",IFERROR(INDEX(Tests!$G$5:$G$49,MATCH(A5,Tests!$A$5:$A$49,0))&amp;"",""))</f>
        <v/>
      </c>
      <c r="D5" s="12" t="str">
        <f aca="false">IF(A5="","",IFERROR(INDEX(Tests!$H$5:$H$49,MATCH(A5,Tests!$A$5:$A$49,0))&amp;"",""))</f>
        <v/>
      </c>
      <c r="E5" s="5"/>
      <c r="F5" s="5"/>
      <c r="G5" s="15"/>
      <c r="H5" s="14"/>
      <c r="I5" s="5"/>
    </row>
    <row r="6" customFormat="false" ht="31.5" hidden="false" customHeight="true" outlineLevel="0" collapsed="false">
      <c r="A6" s="14"/>
      <c r="B6" s="7" t="str">
        <f aca="false">IF(A6="","",IFERROR(INDEX(Tests!$C$5:$C$49,MATCH(A6,Tests!$A$5:$A$49,0)),"ID introuvable"))</f>
        <v/>
      </c>
      <c r="C6" s="7" t="str">
        <f aca="false">IF(A6="","",IFERROR(INDEX(Tests!$G$5:$G$49,MATCH(A6,Tests!$A$5:$A$49,0))&amp;"",""))</f>
        <v/>
      </c>
      <c r="D6" s="12" t="str">
        <f aca="false">IF(A6="","",IFERROR(INDEX(Tests!$H$5:$H$49,MATCH(A6,Tests!$A$5:$A$49,0))&amp;"",""))</f>
        <v/>
      </c>
      <c r="E6" s="5"/>
      <c r="F6" s="5"/>
      <c r="G6" s="15"/>
      <c r="H6" s="14"/>
      <c r="I6" s="5"/>
    </row>
    <row r="7" customFormat="false" ht="31.5" hidden="false" customHeight="true" outlineLevel="0" collapsed="false">
      <c r="A7" s="14"/>
      <c r="B7" s="7" t="str">
        <f aca="false">IF(A7="","",IFERROR(INDEX(Tests!$C$5:$C$49,MATCH(A7,Tests!$A$5:$A$49,0)),"ID introuvable"))</f>
        <v/>
      </c>
      <c r="C7" s="7" t="str">
        <f aca="false">IF(A7="","",IFERROR(INDEX(Tests!$G$5:$G$49,MATCH(A7,Tests!$A$5:$A$49,0))&amp;"",""))</f>
        <v/>
      </c>
      <c r="D7" s="12" t="str">
        <f aca="false">IF(A7="","",IFERROR(INDEX(Tests!$H$5:$H$49,MATCH(A7,Tests!$A$5:$A$49,0))&amp;"",""))</f>
        <v/>
      </c>
      <c r="E7" s="5"/>
      <c r="F7" s="5"/>
      <c r="G7" s="15"/>
      <c r="H7" s="14"/>
      <c r="I7" s="5"/>
    </row>
    <row r="8" customFormat="false" ht="31.5" hidden="false" customHeight="true" outlineLevel="0" collapsed="false">
      <c r="A8" s="14"/>
      <c r="B8" s="7" t="str">
        <f aca="false">IF(A8="","",IFERROR(INDEX(Tests!$C$5:$C$49,MATCH(A8,Tests!$A$5:$A$49,0)),"ID introuvable"))</f>
        <v/>
      </c>
      <c r="C8" s="7" t="str">
        <f aca="false">IF(A8="","",IFERROR(INDEX(Tests!$G$5:$G$49,MATCH(A8,Tests!$A$5:$A$49,0))&amp;"",""))</f>
        <v/>
      </c>
      <c r="D8" s="12" t="str">
        <f aca="false">IF(A8="","",IFERROR(INDEX(Tests!$H$5:$H$49,MATCH(A8,Tests!$A$5:$A$49,0))&amp;"",""))</f>
        <v/>
      </c>
      <c r="E8" s="5"/>
      <c r="F8" s="5"/>
      <c r="G8" s="15"/>
      <c r="H8" s="14"/>
      <c r="I8" s="5"/>
    </row>
    <row r="9" customFormat="false" ht="31.5" hidden="false" customHeight="true" outlineLevel="0" collapsed="false">
      <c r="A9" s="14"/>
      <c r="B9" s="7" t="str">
        <f aca="false">IF(A9="","",IFERROR(INDEX(Tests!$C$5:$C$49,MATCH(A9,Tests!$A$5:$A$49,0)),"ID introuvable"))</f>
        <v/>
      </c>
      <c r="C9" s="7" t="str">
        <f aca="false">IF(A9="","",IFERROR(INDEX(Tests!$G$5:$G$49,MATCH(A9,Tests!$A$5:$A$49,0))&amp;"",""))</f>
        <v/>
      </c>
      <c r="D9" s="12" t="str">
        <f aca="false">IF(A9="","",IFERROR(INDEX(Tests!$H$5:$H$49,MATCH(A9,Tests!$A$5:$A$49,0))&amp;"",""))</f>
        <v/>
      </c>
      <c r="E9" s="5"/>
      <c r="F9" s="5"/>
      <c r="G9" s="15"/>
      <c r="H9" s="14"/>
      <c r="I9" s="5"/>
    </row>
    <row r="10" customFormat="false" ht="31.5" hidden="false" customHeight="true" outlineLevel="0" collapsed="false">
      <c r="A10" s="14"/>
      <c r="B10" s="7" t="str">
        <f aca="false">IF(A10="","",IFERROR(INDEX(Tests!$C$5:$C$49,MATCH(A10,Tests!$A$5:$A$49,0)),"ID introuvable"))</f>
        <v/>
      </c>
      <c r="C10" s="7" t="str">
        <f aca="false">IF(A10="","",IFERROR(INDEX(Tests!$G$5:$G$49,MATCH(A10,Tests!$A$5:$A$49,0))&amp;"",""))</f>
        <v/>
      </c>
      <c r="D10" s="12" t="str">
        <f aca="false">IF(A10="","",IFERROR(INDEX(Tests!$H$5:$H$49,MATCH(A10,Tests!$A$5:$A$49,0))&amp;"",""))</f>
        <v/>
      </c>
      <c r="E10" s="5"/>
      <c r="F10" s="5"/>
      <c r="G10" s="15"/>
      <c r="H10" s="14"/>
      <c r="I10" s="5"/>
    </row>
    <row r="11" customFormat="false" ht="31.5" hidden="false" customHeight="true" outlineLevel="0" collapsed="false">
      <c r="A11" s="14"/>
      <c r="B11" s="7" t="str">
        <f aca="false">IF(A11="","",IFERROR(INDEX(Tests!$C$5:$C$49,MATCH(A11,Tests!$A$5:$A$49,0)),"ID introuvable"))</f>
        <v/>
      </c>
      <c r="C11" s="7" t="str">
        <f aca="false">IF(A11="","",IFERROR(INDEX(Tests!$G$5:$G$49,MATCH(A11,Tests!$A$5:$A$49,0))&amp;"",""))</f>
        <v/>
      </c>
      <c r="D11" s="12" t="str">
        <f aca="false">IF(A11="","",IFERROR(INDEX(Tests!$H$5:$H$49,MATCH(A11,Tests!$A$5:$A$49,0))&amp;"",""))</f>
        <v/>
      </c>
      <c r="E11" s="5"/>
      <c r="F11" s="5"/>
      <c r="G11" s="15"/>
      <c r="H11" s="14"/>
      <c r="I11" s="5"/>
    </row>
    <row r="12" customFormat="false" ht="31.5" hidden="false" customHeight="true" outlineLevel="0" collapsed="false">
      <c r="A12" s="14"/>
      <c r="B12" s="7" t="str">
        <f aca="false">IF(A12="","",IFERROR(INDEX(Tests!$C$5:$C$49,MATCH(A12,Tests!$A$5:$A$49,0)),"ID introuvable"))</f>
        <v/>
      </c>
      <c r="C12" s="7" t="str">
        <f aca="false">IF(A12="","",IFERROR(INDEX(Tests!$G$5:$G$49,MATCH(A12,Tests!$A$5:$A$49,0))&amp;"",""))</f>
        <v/>
      </c>
      <c r="D12" s="12" t="str">
        <f aca="false">IF(A12="","",IFERROR(INDEX(Tests!$H$5:$H$49,MATCH(A12,Tests!$A$5:$A$49,0))&amp;"",""))</f>
        <v/>
      </c>
      <c r="E12" s="5"/>
      <c r="F12" s="5"/>
      <c r="G12" s="15"/>
      <c r="H12" s="14"/>
      <c r="I12" s="5"/>
    </row>
    <row r="13" customFormat="false" ht="31.5" hidden="false" customHeight="true" outlineLevel="0" collapsed="false">
      <c r="A13" s="14"/>
      <c r="B13" s="7" t="str">
        <f aca="false">IF(A13="","",IFERROR(INDEX(Tests!$C$5:$C$49,MATCH(A13,Tests!$A$5:$A$49,0)),"ID introuvable"))</f>
        <v/>
      </c>
      <c r="C13" s="7" t="str">
        <f aca="false">IF(A13="","",IFERROR(INDEX(Tests!$G$5:$G$49,MATCH(A13,Tests!$A$5:$A$49,0))&amp;"",""))</f>
        <v/>
      </c>
      <c r="D13" s="12" t="str">
        <f aca="false">IF(A13="","",IFERROR(INDEX(Tests!$H$5:$H$49,MATCH(A13,Tests!$A$5:$A$49,0))&amp;"",""))</f>
        <v/>
      </c>
      <c r="E13" s="5"/>
      <c r="F13" s="5"/>
      <c r="G13" s="15"/>
      <c r="H13" s="14"/>
      <c r="I13" s="5"/>
    </row>
    <row r="14" customFormat="false" ht="31.5" hidden="false" customHeight="true" outlineLevel="0" collapsed="false">
      <c r="A14" s="14"/>
      <c r="B14" s="7" t="str">
        <f aca="false">IF(A14="","",IFERROR(INDEX(Tests!$C$5:$C$49,MATCH(A14,Tests!$A$5:$A$49,0)),"ID introuvable"))</f>
        <v/>
      </c>
      <c r="C14" s="7" t="str">
        <f aca="false">IF(A14="","",IFERROR(INDEX(Tests!$G$5:$G$49,MATCH(A14,Tests!$A$5:$A$49,0))&amp;"",""))</f>
        <v/>
      </c>
      <c r="D14" s="12" t="str">
        <f aca="false">IF(A14="","",IFERROR(INDEX(Tests!$H$5:$H$49,MATCH(A14,Tests!$A$5:$A$49,0))&amp;"",""))</f>
        <v/>
      </c>
      <c r="E14" s="5"/>
      <c r="F14" s="5"/>
      <c r="G14" s="15"/>
      <c r="H14" s="14"/>
      <c r="I14" s="5"/>
    </row>
    <row r="15" customFormat="false" ht="31.5" hidden="false" customHeight="true" outlineLevel="0" collapsed="false">
      <c r="A15" s="14"/>
      <c r="B15" s="7" t="str">
        <f aca="false">IF(A15="","",IFERROR(INDEX(Tests!$C$5:$C$49,MATCH(A15,Tests!$A$5:$A$49,0)),"ID introuvable"))</f>
        <v/>
      </c>
      <c r="C15" s="7" t="str">
        <f aca="false">IF(A15="","",IFERROR(INDEX(Tests!$G$5:$G$49,MATCH(A15,Tests!$A$5:$A$49,0))&amp;"",""))</f>
        <v/>
      </c>
      <c r="D15" s="12" t="str">
        <f aca="false">IF(A15="","",IFERROR(INDEX(Tests!$H$5:$H$49,MATCH(A15,Tests!$A$5:$A$49,0))&amp;"",""))</f>
        <v/>
      </c>
      <c r="E15" s="5"/>
      <c r="F15" s="5"/>
      <c r="G15" s="15"/>
      <c r="H15" s="14"/>
      <c r="I15" s="5"/>
    </row>
    <row r="16" customFormat="false" ht="31.5" hidden="false" customHeight="true" outlineLevel="0" collapsed="false">
      <c r="A16" s="14"/>
      <c r="B16" s="7" t="str">
        <f aca="false">IF(A16="","",IFERROR(INDEX(Tests!$C$5:$C$49,MATCH(A16,Tests!$A$5:$A$49,0)),"ID introuvable"))</f>
        <v/>
      </c>
      <c r="C16" s="7" t="str">
        <f aca="false">IF(A16="","",IFERROR(INDEX(Tests!$G$5:$G$49,MATCH(A16,Tests!$A$5:$A$49,0))&amp;"",""))</f>
        <v/>
      </c>
      <c r="D16" s="12" t="str">
        <f aca="false">IF(A16="","",IFERROR(INDEX(Tests!$H$5:$H$49,MATCH(A16,Tests!$A$5:$A$49,0))&amp;"",""))</f>
        <v/>
      </c>
      <c r="E16" s="5"/>
      <c r="F16" s="5"/>
      <c r="G16" s="15"/>
      <c r="H16" s="14"/>
      <c r="I16" s="5"/>
    </row>
    <row r="17" customFormat="false" ht="31.5" hidden="false" customHeight="true" outlineLevel="0" collapsed="false">
      <c r="A17" s="14"/>
      <c r="B17" s="7" t="str">
        <f aca="false">IF(A17="","",IFERROR(INDEX(Tests!$C$5:$C$49,MATCH(A17,Tests!$A$5:$A$49,0)),"ID introuvable"))</f>
        <v/>
      </c>
      <c r="C17" s="7" t="str">
        <f aca="false">IF(A17="","",IFERROR(INDEX(Tests!$G$5:$G$49,MATCH(A17,Tests!$A$5:$A$49,0))&amp;"",""))</f>
        <v/>
      </c>
      <c r="D17" s="12" t="str">
        <f aca="false">IF(A17="","",IFERROR(INDEX(Tests!$H$5:$H$49,MATCH(A17,Tests!$A$5:$A$49,0))&amp;"",""))</f>
        <v/>
      </c>
      <c r="E17" s="5"/>
      <c r="F17" s="5"/>
      <c r="G17" s="15"/>
      <c r="H17" s="14"/>
      <c r="I17" s="5"/>
    </row>
    <row r="18" customFormat="false" ht="31.5" hidden="false" customHeight="true" outlineLevel="0" collapsed="false">
      <c r="A18" s="14"/>
      <c r="B18" s="7" t="str">
        <f aca="false">IF(A18="","",IFERROR(INDEX(Tests!$C$5:$C$49,MATCH(A18,Tests!$A$5:$A$49,0)),"ID introuvable"))</f>
        <v/>
      </c>
      <c r="C18" s="7" t="str">
        <f aca="false">IF(A18="","",IFERROR(INDEX(Tests!$G$5:$G$49,MATCH(A18,Tests!$A$5:$A$49,0))&amp;"",""))</f>
        <v/>
      </c>
      <c r="D18" s="12" t="str">
        <f aca="false">IF(A18="","",IFERROR(INDEX(Tests!$H$5:$H$49,MATCH(A18,Tests!$A$5:$A$49,0))&amp;"",""))</f>
        <v/>
      </c>
      <c r="E18" s="5"/>
      <c r="F18" s="5"/>
      <c r="G18" s="15"/>
      <c r="H18" s="14"/>
      <c r="I18" s="5"/>
    </row>
    <row r="19" customFormat="false" ht="31.5" hidden="false" customHeight="true" outlineLevel="0" collapsed="false">
      <c r="A19" s="14"/>
      <c r="B19" s="7" t="str">
        <f aca="false">IF(A19="","",IFERROR(INDEX(Tests!$C$5:$C$49,MATCH(A19,Tests!$A$5:$A$49,0)),"ID introuvable"))</f>
        <v/>
      </c>
      <c r="C19" s="7" t="str">
        <f aca="false">IF(A19="","",IFERROR(INDEX(Tests!$G$5:$G$49,MATCH(A19,Tests!$A$5:$A$49,0))&amp;"",""))</f>
        <v/>
      </c>
      <c r="D19" s="12" t="str">
        <f aca="false">IF(A19="","",IFERROR(INDEX(Tests!$H$5:$H$49,MATCH(A19,Tests!$A$5:$A$49,0))&amp;"",""))</f>
        <v/>
      </c>
      <c r="E19" s="5"/>
      <c r="F19" s="5"/>
      <c r="G19" s="15"/>
      <c r="H19" s="14"/>
      <c r="I19" s="5"/>
    </row>
    <row r="20" customFormat="false" ht="31.5" hidden="false" customHeight="true" outlineLevel="0" collapsed="false">
      <c r="A20" s="14"/>
      <c r="B20" s="7" t="str">
        <f aca="false">IF(A20="","",IFERROR(INDEX(Tests!$C$5:$C$49,MATCH(A20,Tests!$A$5:$A$49,0)),"ID introuvable"))</f>
        <v/>
      </c>
      <c r="C20" s="7" t="str">
        <f aca="false">IF(A20="","",IFERROR(INDEX(Tests!$G$5:$G$49,MATCH(A20,Tests!$A$5:$A$49,0))&amp;"",""))</f>
        <v/>
      </c>
      <c r="D20" s="12" t="str">
        <f aca="false">IF(A20="","",IFERROR(INDEX(Tests!$H$5:$H$49,MATCH(A20,Tests!$A$5:$A$49,0))&amp;"",""))</f>
        <v/>
      </c>
      <c r="E20" s="5"/>
      <c r="F20" s="5"/>
      <c r="G20" s="15"/>
      <c r="H20" s="14"/>
      <c r="I20" s="5"/>
    </row>
    <row r="21" customFormat="false" ht="31.5" hidden="false" customHeight="true" outlineLevel="0" collapsed="false">
      <c r="A21" s="14"/>
      <c r="B21" s="7" t="str">
        <f aca="false">IF(A21="","",IFERROR(INDEX(Tests!$C$5:$C$49,MATCH(A21,Tests!$A$5:$A$49,0)),"ID introuvable"))</f>
        <v/>
      </c>
      <c r="C21" s="7" t="str">
        <f aca="false">IF(A21="","",IFERROR(INDEX(Tests!$G$5:$G$49,MATCH(A21,Tests!$A$5:$A$49,0))&amp;"",""))</f>
        <v/>
      </c>
      <c r="D21" s="12" t="str">
        <f aca="false">IF(A21="","",IFERROR(INDEX(Tests!$H$5:$H$49,MATCH(A21,Tests!$A$5:$A$49,0))&amp;"",""))</f>
        <v/>
      </c>
      <c r="E21" s="5"/>
      <c r="F21" s="5"/>
      <c r="G21" s="15"/>
      <c r="H21" s="14"/>
      <c r="I21" s="5"/>
    </row>
    <row r="22" customFormat="false" ht="31.5" hidden="false" customHeight="true" outlineLevel="0" collapsed="false">
      <c r="A22" s="14"/>
      <c r="B22" s="7" t="str">
        <f aca="false">IF(A22="","",IFERROR(INDEX(Tests!$C$5:$C$49,MATCH(A22,Tests!$A$5:$A$49,0)),"ID introuvable"))</f>
        <v/>
      </c>
      <c r="C22" s="7" t="str">
        <f aca="false">IF(A22="","",IFERROR(INDEX(Tests!$G$5:$G$49,MATCH(A22,Tests!$A$5:$A$49,0))&amp;"",""))</f>
        <v/>
      </c>
      <c r="D22" s="12" t="str">
        <f aca="false">IF(A22="","",IFERROR(INDEX(Tests!$H$5:$H$49,MATCH(A22,Tests!$A$5:$A$49,0))&amp;"",""))</f>
        <v/>
      </c>
      <c r="E22" s="5"/>
      <c r="F22" s="5"/>
      <c r="G22" s="15"/>
      <c r="H22" s="14"/>
      <c r="I22" s="5"/>
    </row>
    <row r="23" customFormat="false" ht="31.5" hidden="false" customHeight="true" outlineLevel="0" collapsed="false">
      <c r="A23" s="14"/>
      <c r="B23" s="7" t="str">
        <f aca="false">IF(A23="","",IFERROR(INDEX(Tests!$C$5:$C$49,MATCH(A23,Tests!$A$5:$A$49,0)),"ID introuvable"))</f>
        <v/>
      </c>
      <c r="C23" s="7" t="str">
        <f aca="false">IF(A23="","",IFERROR(INDEX(Tests!$G$5:$G$49,MATCH(A23,Tests!$A$5:$A$49,0))&amp;"",""))</f>
        <v/>
      </c>
      <c r="D23" s="12" t="str">
        <f aca="false">IF(A23="","",IFERROR(INDEX(Tests!$H$5:$H$49,MATCH(A23,Tests!$A$5:$A$49,0))&amp;"",""))</f>
        <v/>
      </c>
      <c r="E23" s="5"/>
      <c r="F23" s="5"/>
      <c r="G23" s="15"/>
      <c r="H23" s="14"/>
      <c r="I23" s="5"/>
    </row>
    <row r="24" customFormat="false" ht="31.5" hidden="false" customHeight="true" outlineLevel="0" collapsed="false">
      <c r="A24" s="14"/>
      <c r="B24" s="7" t="str">
        <f aca="false">IF(A24="","",IFERROR(INDEX(Tests!$C$5:$C$49,MATCH(A24,Tests!$A$5:$A$49,0)),"ID introuvable"))</f>
        <v/>
      </c>
      <c r="C24" s="7" t="str">
        <f aca="false">IF(A24="","",IFERROR(INDEX(Tests!$G$5:$G$49,MATCH(A24,Tests!$A$5:$A$49,0))&amp;"",""))</f>
        <v/>
      </c>
      <c r="D24" s="12" t="str">
        <f aca="false">IF(A24="","",IFERROR(INDEX(Tests!$H$5:$H$49,MATCH(A24,Tests!$A$5:$A$49,0))&amp;"",""))</f>
        <v/>
      </c>
      <c r="E24" s="5"/>
      <c r="F24" s="5"/>
      <c r="G24" s="15"/>
      <c r="H24" s="14"/>
      <c r="I24" s="5"/>
    </row>
    <row r="25" customFormat="false" ht="31.5" hidden="false" customHeight="true" outlineLevel="0" collapsed="false">
      <c r="A25" s="14"/>
      <c r="B25" s="7" t="str">
        <f aca="false">IF(A25="","",IFERROR(INDEX(Tests!$C$5:$C$49,MATCH(A25,Tests!$A$5:$A$49,0)),"ID introuvable"))</f>
        <v/>
      </c>
      <c r="C25" s="7" t="str">
        <f aca="false">IF(A25="","",IFERROR(INDEX(Tests!$G$5:$G$49,MATCH(A25,Tests!$A$5:$A$49,0))&amp;"",""))</f>
        <v/>
      </c>
      <c r="D25" s="12" t="str">
        <f aca="false">IF(A25="","",IFERROR(INDEX(Tests!$H$5:$H$49,MATCH(A25,Tests!$A$5:$A$49,0))&amp;"",""))</f>
        <v/>
      </c>
      <c r="E25" s="5"/>
      <c r="F25" s="5"/>
      <c r="G25" s="15"/>
      <c r="H25" s="14"/>
      <c r="I25" s="5"/>
    </row>
    <row r="26" customFormat="false" ht="31.5" hidden="false" customHeight="true" outlineLevel="0" collapsed="false">
      <c r="A26" s="14"/>
      <c r="B26" s="7" t="str">
        <f aca="false">IF(A26="","",IFERROR(INDEX(Tests!$C$5:$C$49,MATCH(A26,Tests!$A$5:$A$49,0)),"ID introuvable"))</f>
        <v/>
      </c>
      <c r="C26" s="7" t="str">
        <f aca="false">IF(A26="","",IFERROR(INDEX(Tests!$G$5:$G$49,MATCH(A26,Tests!$A$5:$A$49,0))&amp;"",""))</f>
        <v/>
      </c>
      <c r="D26" s="12" t="str">
        <f aca="false">IF(A26="","",IFERROR(INDEX(Tests!$H$5:$H$49,MATCH(A26,Tests!$A$5:$A$49,0))&amp;"",""))</f>
        <v/>
      </c>
      <c r="E26" s="5"/>
      <c r="F26" s="5"/>
      <c r="G26" s="15"/>
      <c r="H26" s="14"/>
      <c r="I26" s="5"/>
    </row>
    <row r="27" customFormat="false" ht="31.5" hidden="false" customHeight="true" outlineLevel="0" collapsed="false">
      <c r="A27" s="14"/>
      <c r="B27" s="7" t="str">
        <f aca="false">IF(A27="","",IFERROR(INDEX(Tests!$C$5:$C$49,MATCH(A27,Tests!$A$5:$A$49,0)),"ID introuvable"))</f>
        <v/>
      </c>
      <c r="C27" s="7" t="str">
        <f aca="false">IF(A27="","",IFERROR(INDEX(Tests!$G$5:$G$49,MATCH(A27,Tests!$A$5:$A$49,0))&amp;"",""))</f>
        <v/>
      </c>
      <c r="D27" s="12" t="str">
        <f aca="false">IF(A27="","",IFERROR(INDEX(Tests!$H$5:$H$49,MATCH(A27,Tests!$A$5:$A$49,0))&amp;"",""))</f>
        <v/>
      </c>
      <c r="E27" s="5"/>
      <c r="F27" s="5"/>
      <c r="G27" s="15"/>
      <c r="H27" s="14"/>
      <c r="I27" s="5"/>
    </row>
    <row r="28" customFormat="false" ht="31.5" hidden="false" customHeight="true" outlineLevel="0" collapsed="false">
      <c r="A28" s="14"/>
      <c r="B28" s="7" t="str">
        <f aca="false">IF(A28="","",IFERROR(INDEX(Tests!$C$5:$C$49,MATCH(A28,Tests!$A$5:$A$49,0)),"ID introuvable"))</f>
        <v/>
      </c>
      <c r="C28" s="7" t="str">
        <f aca="false">IF(A28="","",IFERROR(INDEX(Tests!$G$5:$G$49,MATCH(A28,Tests!$A$5:$A$49,0))&amp;"",""))</f>
        <v/>
      </c>
      <c r="D28" s="12" t="str">
        <f aca="false">IF(A28="","",IFERROR(INDEX(Tests!$H$5:$H$49,MATCH(A28,Tests!$A$5:$A$49,0))&amp;"",""))</f>
        <v/>
      </c>
      <c r="E28" s="5"/>
      <c r="F28" s="5"/>
      <c r="G28" s="15"/>
      <c r="H28" s="14"/>
      <c r="I28" s="5"/>
    </row>
    <row r="29" customFormat="false" ht="31.5" hidden="false" customHeight="true" outlineLevel="0" collapsed="false">
      <c r="A29" s="14"/>
      <c r="B29" s="7" t="str">
        <f aca="false">IF(A29="","",IFERROR(INDEX(Tests!$C$5:$C$49,MATCH(A29,Tests!$A$5:$A$49,0)),"ID introuvable"))</f>
        <v/>
      </c>
      <c r="C29" s="7" t="str">
        <f aca="false">IF(A29="","",IFERROR(INDEX(Tests!$G$5:$G$49,MATCH(A29,Tests!$A$5:$A$49,0))&amp;"",""))</f>
        <v/>
      </c>
      <c r="D29" s="12" t="str">
        <f aca="false">IF(A29="","",IFERROR(INDEX(Tests!$H$5:$H$49,MATCH(A29,Tests!$A$5:$A$49,0))&amp;"",""))</f>
        <v/>
      </c>
      <c r="E29" s="5"/>
      <c r="F29" s="5"/>
      <c r="G29" s="15"/>
      <c r="H29" s="14"/>
      <c r="I29" s="5"/>
    </row>
    <row r="30" customFormat="false" ht="31.5" hidden="false" customHeight="true" outlineLevel="0" collapsed="false">
      <c r="A30" s="14"/>
      <c r="B30" s="7" t="str">
        <f aca="false">IF(A30="","",IFERROR(INDEX(Tests!$C$5:$C$49,MATCH(A30,Tests!$A$5:$A$49,0)),"ID introuvable"))</f>
        <v/>
      </c>
      <c r="C30" s="7" t="str">
        <f aca="false">IF(A30="","",IFERROR(INDEX(Tests!$G$5:$G$49,MATCH(A30,Tests!$A$5:$A$49,0))&amp;"",""))</f>
        <v/>
      </c>
      <c r="D30" s="12" t="str">
        <f aca="false">IF(A30="","",IFERROR(INDEX(Tests!$H$5:$H$49,MATCH(A30,Tests!$A$5:$A$49,0))&amp;"",""))</f>
        <v/>
      </c>
      <c r="E30" s="5"/>
      <c r="F30" s="5"/>
      <c r="G30" s="15"/>
      <c r="H30" s="14"/>
      <c r="I30" s="5"/>
    </row>
    <row r="31" customFormat="false" ht="31.5" hidden="false" customHeight="true" outlineLevel="0" collapsed="false">
      <c r="A31" s="14"/>
      <c r="B31" s="7" t="str">
        <f aca="false">IF(A31="","",IFERROR(INDEX(Tests!$C$5:$C$49,MATCH(A31,Tests!$A$5:$A$49,0)),"ID introuvable"))</f>
        <v/>
      </c>
      <c r="C31" s="7" t="str">
        <f aca="false">IF(A31="","",IFERROR(INDEX(Tests!$G$5:$G$49,MATCH(A31,Tests!$A$5:$A$49,0))&amp;"",""))</f>
        <v/>
      </c>
      <c r="D31" s="12" t="str">
        <f aca="false">IF(A31="","",IFERROR(INDEX(Tests!$H$5:$H$49,MATCH(A31,Tests!$A$5:$A$49,0))&amp;"",""))</f>
        <v/>
      </c>
      <c r="E31" s="5"/>
      <c r="F31" s="5"/>
      <c r="G31" s="15"/>
      <c r="H31" s="14"/>
      <c r="I31" s="5"/>
    </row>
    <row r="32" customFormat="false" ht="31.5" hidden="false" customHeight="true" outlineLevel="0" collapsed="false">
      <c r="A32" s="14"/>
      <c r="B32" s="7" t="str">
        <f aca="false">IF(A32="","",IFERROR(INDEX(Tests!$C$5:$C$49,MATCH(A32,Tests!$A$5:$A$49,0)),"ID introuvable"))</f>
        <v/>
      </c>
      <c r="C32" s="7" t="str">
        <f aca="false">IF(A32="","",IFERROR(INDEX(Tests!$G$5:$G$49,MATCH(A32,Tests!$A$5:$A$49,0))&amp;"",""))</f>
        <v/>
      </c>
      <c r="D32" s="12" t="str">
        <f aca="false">IF(A32="","",IFERROR(INDEX(Tests!$H$5:$H$49,MATCH(A32,Tests!$A$5:$A$49,0))&amp;"",""))</f>
        <v/>
      </c>
      <c r="E32" s="5"/>
      <c r="F32" s="5"/>
      <c r="G32" s="15"/>
      <c r="H32" s="14"/>
      <c r="I32" s="5"/>
    </row>
    <row r="33" customFormat="false" ht="31.5" hidden="false" customHeight="true" outlineLevel="0" collapsed="false">
      <c r="A33" s="14"/>
      <c r="B33" s="7" t="str">
        <f aca="false">IF(A33="","",IFERROR(INDEX(Tests!$C$5:$C$49,MATCH(A33,Tests!$A$5:$A$49,0)),"ID introuvable"))</f>
        <v/>
      </c>
      <c r="C33" s="7" t="str">
        <f aca="false">IF(A33="","",IFERROR(INDEX(Tests!$G$5:$G$49,MATCH(A33,Tests!$A$5:$A$49,0))&amp;"",""))</f>
        <v/>
      </c>
      <c r="D33" s="12" t="str">
        <f aca="false">IF(A33="","",IFERROR(INDEX(Tests!$H$5:$H$49,MATCH(A33,Tests!$A$5:$A$49,0))&amp;"",""))</f>
        <v/>
      </c>
      <c r="E33" s="5"/>
      <c r="F33" s="5"/>
      <c r="G33" s="15"/>
      <c r="H33" s="14"/>
      <c r="I33" s="5"/>
    </row>
    <row r="34" customFormat="false" ht="31.5" hidden="false" customHeight="true" outlineLevel="0" collapsed="false">
      <c r="A34" s="14"/>
      <c r="B34" s="7" t="str">
        <f aca="false">IF(A34="","",IFERROR(INDEX(Tests!$C$5:$C$49,MATCH(A34,Tests!$A$5:$A$49,0)),"ID introuvable"))</f>
        <v/>
      </c>
      <c r="C34" s="7" t="str">
        <f aca="false">IF(A34="","",IFERROR(INDEX(Tests!$G$5:$G$49,MATCH(A34,Tests!$A$5:$A$49,0))&amp;"",""))</f>
        <v/>
      </c>
      <c r="D34" s="12" t="str">
        <f aca="false">IF(A34="","",IFERROR(INDEX(Tests!$H$5:$H$49,MATCH(A34,Tests!$A$5:$A$49,0))&amp;"",""))</f>
        <v/>
      </c>
      <c r="E34" s="5"/>
      <c r="F34" s="5"/>
      <c r="G34" s="15"/>
      <c r="H34" s="14"/>
      <c r="I34" s="5"/>
    </row>
    <row r="35" customFormat="false" ht="31.5" hidden="false" customHeight="true" outlineLevel="0" collapsed="false">
      <c r="A35" s="14"/>
      <c r="B35" s="7" t="str">
        <f aca="false">IF(A35="","",IFERROR(INDEX(Tests!$C$5:$C$49,MATCH(A35,Tests!$A$5:$A$49,0)),"ID introuvable"))</f>
        <v/>
      </c>
      <c r="C35" s="7" t="str">
        <f aca="false">IF(A35="","",IFERROR(INDEX(Tests!$G$5:$G$49,MATCH(A35,Tests!$A$5:$A$49,0))&amp;"",""))</f>
        <v/>
      </c>
      <c r="D35" s="12" t="str">
        <f aca="false">IF(A35="","",IFERROR(INDEX(Tests!$H$5:$H$49,MATCH(A35,Tests!$A$5:$A$49,0))&amp;"",""))</f>
        <v/>
      </c>
      <c r="E35" s="5"/>
      <c r="F35" s="5"/>
      <c r="G35" s="15"/>
      <c r="H35" s="14"/>
      <c r="I35" s="5"/>
    </row>
    <row r="36" customFormat="false" ht="31.5" hidden="false" customHeight="true" outlineLevel="0" collapsed="false">
      <c r="A36" s="14"/>
      <c r="B36" s="7" t="str">
        <f aca="false">IF(A36="","",IFERROR(INDEX(Tests!$C$5:$C$49,MATCH(A36,Tests!$A$5:$A$49,0)),"ID introuvable"))</f>
        <v/>
      </c>
      <c r="C36" s="7" t="str">
        <f aca="false">IF(A36="","",IFERROR(INDEX(Tests!$G$5:$G$49,MATCH(A36,Tests!$A$5:$A$49,0))&amp;"",""))</f>
        <v/>
      </c>
      <c r="D36" s="12" t="str">
        <f aca="false">IF(A36="","",IFERROR(INDEX(Tests!$H$5:$H$49,MATCH(A36,Tests!$A$5:$A$49,0))&amp;"",""))</f>
        <v/>
      </c>
      <c r="E36" s="5"/>
      <c r="F36" s="5"/>
      <c r="G36" s="15"/>
      <c r="H36" s="14"/>
      <c r="I36" s="5"/>
    </row>
    <row r="37" customFormat="false" ht="31.5" hidden="false" customHeight="true" outlineLevel="0" collapsed="false">
      <c r="A37" s="14"/>
      <c r="B37" s="7" t="str">
        <f aca="false">IF(A37="","",IFERROR(INDEX(Tests!$C$5:$C$49,MATCH(A37,Tests!$A$5:$A$49,0)),"ID introuvable"))</f>
        <v/>
      </c>
      <c r="C37" s="7" t="str">
        <f aca="false">IF(A37="","",IFERROR(INDEX(Tests!$G$5:$G$49,MATCH(A37,Tests!$A$5:$A$49,0))&amp;"",""))</f>
        <v/>
      </c>
      <c r="D37" s="12" t="str">
        <f aca="false">IF(A37="","",IFERROR(INDEX(Tests!$H$5:$H$49,MATCH(A37,Tests!$A$5:$A$49,0))&amp;"",""))</f>
        <v/>
      </c>
      <c r="E37" s="5"/>
      <c r="F37" s="5"/>
      <c r="G37" s="15"/>
      <c r="H37" s="14"/>
      <c r="I37" s="5"/>
    </row>
    <row r="38" customFormat="false" ht="31.5" hidden="false" customHeight="true" outlineLevel="0" collapsed="false">
      <c r="A38" s="14"/>
      <c r="B38" s="7" t="str">
        <f aca="false">IF(A38="","",IFERROR(INDEX(Tests!$C$5:$C$49,MATCH(A38,Tests!$A$5:$A$49,0)),"ID introuvable"))</f>
        <v/>
      </c>
      <c r="C38" s="7" t="str">
        <f aca="false">IF(A38="","",IFERROR(INDEX(Tests!$G$5:$G$49,MATCH(A38,Tests!$A$5:$A$49,0))&amp;"",""))</f>
        <v/>
      </c>
      <c r="D38" s="12" t="str">
        <f aca="false">IF(A38="","",IFERROR(INDEX(Tests!$H$5:$H$49,MATCH(A38,Tests!$A$5:$A$49,0))&amp;"",""))</f>
        <v/>
      </c>
      <c r="E38" s="5"/>
      <c r="F38" s="5"/>
      <c r="G38" s="15"/>
      <c r="H38" s="14"/>
      <c r="I38" s="5"/>
    </row>
    <row r="39" customFormat="false" ht="31.5" hidden="false" customHeight="true" outlineLevel="0" collapsed="false">
      <c r="A39" s="14"/>
      <c r="B39" s="7" t="str">
        <f aca="false">IF(A39="","",IFERROR(INDEX(Tests!$C$5:$C$49,MATCH(A39,Tests!$A$5:$A$49,0)),"ID introuvable"))</f>
        <v/>
      </c>
      <c r="C39" s="7" t="str">
        <f aca="false">IF(A39="","",IFERROR(INDEX(Tests!$G$5:$G$49,MATCH(A39,Tests!$A$5:$A$49,0))&amp;"",""))</f>
        <v/>
      </c>
      <c r="D39" s="12" t="str">
        <f aca="false">IF(A39="","",IFERROR(INDEX(Tests!$H$5:$H$49,MATCH(A39,Tests!$A$5:$A$49,0))&amp;"",""))</f>
        <v/>
      </c>
      <c r="E39" s="5"/>
      <c r="F39" s="5"/>
      <c r="G39" s="15"/>
      <c r="H39" s="14"/>
      <c r="I39" s="5"/>
    </row>
    <row r="40" customFormat="false" ht="31.5" hidden="false" customHeight="true" outlineLevel="0" collapsed="false">
      <c r="A40" s="14"/>
      <c r="B40" s="7" t="str">
        <f aca="false">IF(A40="","",IFERROR(INDEX(Tests!$C$5:$C$49,MATCH(A40,Tests!$A$5:$A$49,0)),"ID introuvable"))</f>
        <v/>
      </c>
      <c r="C40" s="7" t="str">
        <f aca="false">IF(A40="","",IFERROR(INDEX(Tests!$G$5:$G$49,MATCH(A40,Tests!$A$5:$A$49,0))&amp;"",""))</f>
        <v/>
      </c>
      <c r="D40" s="12" t="str">
        <f aca="false">IF(A40="","",IFERROR(INDEX(Tests!$H$5:$H$49,MATCH(A40,Tests!$A$5:$A$49,0))&amp;"",""))</f>
        <v/>
      </c>
      <c r="E40" s="5"/>
      <c r="F40" s="5"/>
      <c r="G40" s="15"/>
      <c r="H40" s="14"/>
      <c r="I40" s="5"/>
    </row>
    <row r="41" customFormat="false" ht="31.5" hidden="false" customHeight="true" outlineLevel="0" collapsed="false">
      <c r="A41" s="14"/>
      <c r="B41" s="7" t="str">
        <f aca="false">IF(A41="","",IFERROR(INDEX(Tests!$C$5:$C$49,MATCH(A41,Tests!$A$5:$A$49,0)),"ID introuvable"))</f>
        <v/>
      </c>
      <c r="C41" s="7" t="str">
        <f aca="false">IF(A41="","",IFERROR(INDEX(Tests!$G$5:$G$49,MATCH(A41,Tests!$A$5:$A$49,0))&amp;"",""))</f>
        <v/>
      </c>
      <c r="D41" s="12" t="str">
        <f aca="false">IF(A41="","",IFERROR(INDEX(Tests!$H$5:$H$49,MATCH(A41,Tests!$A$5:$A$49,0))&amp;"",""))</f>
        <v/>
      </c>
      <c r="E41" s="5"/>
      <c r="F41" s="5"/>
      <c r="G41" s="15"/>
      <c r="H41" s="14"/>
      <c r="I41" s="5"/>
    </row>
    <row r="42" customFormat="false" ht="31.5" hidden="false" customHeight="true" outlineLevel="0" collapsed="false">
      <c r="A42" s="14"/>
      <c r="B42" s="7" t="str">
        <f aca="false">IF(A42="","",IFERROR(INDEX(Tests!$C$5:$C$49,MATCH(A42,Tests!$A$5:$A$49,0)),"ID introuvable"))</f>
        <v/>
      </c>
      <c r="C42" s="7" t="str">
        <f aca="false">IF(A42="","",IFERROR(INDEX(Tests!$G$5:$G$49,MATCH(A42,Tests!$A$5:$A$49,0))&amp;"",""))</f>
        <v/>
      </c>
      <c r="D42" s="12" t="str">
        <f aca="false">IF(A42="","",IFERROR(INDEX(Tests!$H$5:$H$49,MATCH(A42,Tests!$A$5:$A$49,0))&amp;"",""))</f>
        <v/>
      </c>
      <c r="E42" s="5"/>
      <c r="F42" s="5"/>
      <c r="G42" s="15"/>
      <c r="H42" s="14"/>
      <c r="I42" s="5"/>
    </row>
    <row r="43" customFormat="false" ht="31.5" hidden="false" customHeight="true" outlineLevel="0" collapsed="false">
      <c r="A43" s="14"/>
      <c r="B43" s="7" t="str">
        <f aca="false">IF(A43="","",IFERROR(INDEX(Tests!$C$5:$C$49,MATCH(A43,Tests!$A$5:$A$49,0)),"ID introuvable"))</f>
        <v/>
      </c>
      <c r="C43" s="7" t="str">
        <f aca="false">IF(A43="","",IFERROR(INDEX(Tests!$G$5:$G$49,MATCH(A43,Tests!$A$5:$A$49,0))&amp;"",""))</f>
        <v/>
      </c>
      <c r="D43" s="12" t="str">
        <f aca="false">IF(A43="","",IFERROR(INDEX(Tests!$H$5:$H$49,MATCH(A43,Tests!$A$5:$A$49,0))&amp;"",""))</f>
        <v/>
      </c>
      <c r="E43" s="5"/>
      <c r="F43" s="5"/>
      <c r="G43" s="15"/>
      <c r="H43" s="14"/>
      <c r="I43" s="5"/>
    </row>
    <row r="44" customFormat="false" ht="31.5" hidden="false" customHeight="true" outlineLevel="0" collapsed="false">
      <c r="A44" s="14"/>
      <c r="B44" s="7" t="str">
        <f aca="false">IF(A44="","",IFERROR(INDEX(Tests!$C$5:$C$49,MATCH(A44,Tests!$A$5:$A$49,0)),"ID introuvable"))</f>
        <v/>
      </c>
      <c r="C44" s="7" t="str">
        <f aca="false">IF(A44="","",IFERROR(INDEX(Tests!$G$5:$G$49,MATCH(A44,Tests!$A$5:$A$49,0))&amp;"",""))</f>
        <v/>
      </c>
      <c r="D44" s="12" t="str">
        <f aca="false">IF(A44="","",IFERROR(INDEX(Tests!$H$5:$H$49,MATCH(A44,Tests!$A$5:$A$49,0))&amp;"",""))</f>
        <v/>
      </c>
      <c r="E44" s="5"/>
      <c r="F44" s="5"/>
      <c r="G44" s="15"/>
      <c r="H44" s="14"/>
      <c r="I44" s="5"/>
    </row>
  </sheetData>
  <dataValidations count="1">
    <dataValidation allowBlank="true" errorStyle="stop" operator="between" showDropDown="false" showErrorMessage="false" showInputMessage="false" sqref="H5:H44" type="list">
      <formula1>"Oui,Non,Pas corrigé (justifié)"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1" t="s">
        <v>153</v>
      </c>
    </row>
    <row r="2" customFormat="false" ht="15" hidden="false" customHeight="false" outlineLevel="0" collapsed="false">
      <c r="A2" s="2" t="s">
        <v>154</v>
      </c>
    </row>
    <row r="4" customFormat="false" ht="30" hidden="false" customHeight="true" outlineLevel="0" collapsed="false">
      <c r="A4" s="11" t="s">
        <v>155</v>
      </c>
      <c r="B4" s="11" t="s">
        <v>156</v>
      </c>
      <c r="C4" s="11" t="s">
        <v>157</v>
      </c>
      <c r="D4" s="11" t="s">
        <v>158</v>
      </c>
    </row>
    <row r="5" customFormat="false" ht="43.5" hidden="false" customHeight="true" outlineLevel="0" collapsed="false">
      <c r="A5" s="4" t="s">
        <v>159</v>
      </c>
      <c r="B5" s="7" t="s">
        <v>160</v>
      </c>
      <c r="C5" s="14"/>
      <c r="D5" s="5"/>
    </row>
    <row r="6" customFormat="false" ht="43.5" hidden="false" customHeight="true" outlineLevel="0" collapsed="false">
      <c r="A6" s="4" t="s">
        <v>159</v>
      </c>
      <c r="B6" s="7" t="s">
        <v>161</v>
      </c>
      <c r="C6" s="14"/>
      <c r="D6" s="5"/>
    </row>
    <row r="7" customFormat="false" ht="43.5" hidden="false" customHeight="true" outlineLevel="0" collapsed="false">
      <c r="A7" s="4" t="s">
        <v>159</v>
      </c>
      <c r="B7" s="7" t="s">
        <v>162</v>
      </c>
      <c r="C7" s="14"/>
      <c r="D7" s="5"/>
    </row>
    <row r="8" customFormat="false" ht="43.5" hidden="false" customHeight="true" outlineLevel="0" collapsed="false">
      <c r="A8" s="4" t="s">
        <v>159</v>
      </c>
      <c r="B8" s="7" t="s">
        <v>163</v>
      </c>
      <c r="C8" s="14"/>
      <c r="D8" s="5"/>
    </row>
    <row r="9" customFormat="false" ht="43.5" hidden="false" customHeight="true" outlineLevel="0" collapsed="false">
      <c r="A9" s="4" t="s">
        <v>159</v>
      </c>
      <c r="B9" s="7" t="s">
        <v>164</v>
      </c>
      <c r="C9" s="14"/>
      <c r="D9" s="5"/>
    </row>
    <row r="10" customFormat="false" ht="43.5" hidden="false" customHeight="true" outlineLevel="0" collapsed="false">
      <c r="A10" s="4" t="s">
        <v>159</v>
      </c>
      <c r="B10" s="7" t="s">
        <v>165</v>
      </c>
      <c r="C10" s="14"/>
      <c r="D10" s="5"/>
    </row>
    <row r="11" customFormat="false" ht="43.5" hidden="false" customHeight="true" outlineLevel="0" collapsed="false">
      <c r="A11" s="4" t="s">
        <v>166</v>
      </c>
      <c r="B11" s="7" t="s">
        <v>167</v>
      </c>
      <c r="C11" s="14"/>
      <c r="D11" s="5"/>
    </row>
    <row r="12" customFormat="false" ht="43.5" hidden="false" customHeight="true" outlineLevel="0" collapsed="false">
      <c r="A12" s="4" t="s">
        <v>166</v>
      </c>
      <c r="B12" s="7" t="s">
        <v>168</v>
      </c>
      <c r="C12" s="14"/>
      <c r="D12" s="5"/>
    </row>
    <row r="13" customFormat="false" ht="43.5" hidden="false" customHeight="true" outlineLevel="0" collapsed="false">
      <c r="A13" s="4" t="s">
        <v>166</v>
      </c>
      <c r="B13" s="7" t="s">
        <v>169</v>
      </c>
      <c r="C13" s="14"/>
      <c r="D13" s="5"/>
    </row>
    <row r="14" customFormat="false" ht="43.5" hidden="false" customHeight="true" outlineLevel="0" collapsed="false">
      <c r="A14" s="4" t="s">
        <v>166</v>
      </c>
      <c r="B14" s="7" t="s">
        <v>170</v>
      </c>
      <c r="C14" s="14"/>
      <c r="D14" s="5"/>
    </row>
    <row r="15" customFormat="false" ht="43.5" hidden="false" customHeight="true" outlineLevel="0" collapsed="false">
      <c r="A15" s="4" t="s">
        <v>166</v>
      </c>
      <c r="B15" s="7" t="s">
        <v>171</v>
      </c>
      <c r="C15" s="14"/>
      <c r="D15" s="5"/>
    </row>
    <row r="16" customFormat="false" ht="43.5" hidden="false" customHeight="true" outlineLevel="0" collapsed="false">
      <c r="A16" s="4" t="s">
        <v>172</v>
      </c>
      <c r="B16" s="7" t="s">
        <v>173</v>
      </c>
      <c r="C16" s="14"/>
      <c r="D16" s="5"/>
    </row>
    <row r="17" customFormat="false" ht="43.5" hidden="false" customHeight="true" outlineLevel="0" collapsed="false">
      <c r="A17" s="4" t="s">
        <v>172</v>
      </c>
      <c r="B17" s="7" t="s">
        <v>174</v>
      </c>
      <c r="C17" s="14"/>
      <c r="D17" s="5"/>
    </row>
    <row r="18" customFormat="false" ht="43.5" hidden="false" customHeight="true" outlineLevel="0" collapsed="false">
      <c r="A18" s="4" t="s">
        <v>172</v>
      </c>
      <c r="B18" s="7" t="s">
        <v>175</v>
      </c>
      <c r="C18" s="14"/>
      <c r="D18" s="5"/>
    </row>
  </sheetData>
  <dataValidations count="1">
    <dataValidation allowBlank="true" errorStyle="stop" operator="between" showDropDown="false" showErrorMessage="false" showInputMessage="false" sqref="C5:C18" type="list">
      <formula1>"Insuffisant,Acceptable,Très bien,Excellent"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4" customFormat="false" ht="30" hidden="false" customHeight="true" outlineLevel="0" collapsed="false">
      <c r="A4" s="11" t="s">
        <v>156</v>
      </c>
      <c r="B4" s="11" t="s">
        <v>178</v>
      </c>
    </row>
    <row r="5" customFormat="false" ht="15" hidden="false" customHeight="false" outlineLevel="0" collapsed="false">
      <c r="A5" s="4" t="s">
        <v>179</v>
      </c>
      <c r="B5" s="12" t="n">
        <f aca="false">COUNTA(Tests!A5:A49)-3</f>
        <v>42</v>
      </c>
    </row>
    <row r="6" customFormat="false" ht="15" hidden="false" customHeight="false" outlineLevel="0" collapsed="false">
      <c r="A6" s="4" t="s">
        <v>180</v>
      </c>
      <c r="B6" s="12" t="n">
        <f aca="false">COUNTIF(Tests!F5:F49,"Conforme")+COUNTIF(Tests!F5:F49,"Écart")</f>
        <v>0</v>
      </c>
    </row>
    <row r="7" customFormat="false" ht="15" hidden="false" customHeight="false" outlineLevel="0" collapsed="false">
      <c r="A7" s="4" t="s">
        <v>181</v>
      </c>
      <c r="B7" s="12" t="n">
        <f aca="false">COUNTIF(Tests!F5:F49,"Conforme")</f>
        <v>0</v>
      </c>
    </row>
    <row r="8" customFormat="false" ht="15" hidden="false" customHeight="false" outlineLevel="0" collapsed="false">
      <c r="A8" s="4" t="s">
        <v>182</v>
      </c>
      <c r="B8" s="12" t="n">
        <f aca="false">COUNTIF(Tests!F5:F49,"Écart")</f>
        <v>0</v>
      </c>
    </row>
    <row r="9" customFormat="false" ht="15" hidden="false" customHeight="false" outlineLevel="0" collapsed="false">
      <c r="A9" s="7" t="s">
        <v>183</v>
      </c>
      <c r="B9" s="12" t="n">
        <f aca="false">COUNTIFS(Tests!F5:F49,"Écart",Tests!H5:H49,"Bloquant")</f>
        <v>0</v>
      </c>
    </row>
    <row r="10" customFormat="false" ht="15" hidden="false" customHeight="false" outlineLevel="0" collapsed="false">
      <c r="A10" s="7" t="s">
        <v>184</v>
      </c>
      <c r="B10" s="12" t="n">
        <f aca="false">COUNTIFS(Tests!F5:F49,"Écart",Tests!H5:H49,"Majeur")</f>
        <v>0</v>
      </c>
    </row>
    <row r="11" customFormat="false" ht="15" hidden="false" customHeight="false" outlineLevel="0" collapsed="false">
      <c r="A11" s="7" t="s">
        <v>185</v>
      </c>
      <c r="B11" s="12" t="n">
        <f aca="false">COUNTIFS(Tests!F5:F49,"Écart",Tests!H5:H49,"Mineur")</f>
        <v>0</v>
      </c>
    </row>
    <row r="12" customFormat="false" ht="15" hidden="false" customHeight="false" outlineLevel="0" collapsed="false">
      <c r="A12" s="4" t="s">
        <v>186</v>
      </c>
      <c r="B12" s="12" t="n">
        <f aca="false">B8-B9-B10-B11</f>
        <v>0</v>
      </c>
    </row>
    <row r="13" customFormat="false" ht="15" hidden="false" customHeight="false" outlineLevel="0" collapsed="false">
      <c r="A13" s="4" t="s">
        <v>187</v>
      </c>
      <c r="B13" s="12" t="n">
        <f aca="false">COUNTA(Correctifs!A5:A44)</f>
        <v>0</v>
      </c>
    </row>
    <row r="14" customFormat="false" ht="15" hidden="false" customHeight="false" outlineLevel="0" collapsed="false">
      <c r="A14" s="4" t="s">
        <v>188</v>
      </c>
      <c r="B14" s="12" t="n">
        <f aca="false">COUNTIF(Correctifs!H5:H44,"Oui")</f>
        <v>0</v>
      </c>
    </row>
    <row r="15" customFormat="false" ht="15" hidden="false" customHeight="false" outlineLevel="0" collapsed="false">
      <c r="A15" s="4" t="s">
        <v>189</v>
      </c>
      <c r="B15" s="16" t="n">
        <f aca="false">IF(B8=0,0,B14/B8)</f>
        <v>0</v>
      </c>
    </row>
    <row r="17" customFormat="false" ht="22.35" hidden="false" customHeight="false" outlineLevel="0" collapsed="false">
      <c r="A17" s="17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2026-10-01T23:31:15Z</dcterms:created>
  <dc:creator>openpyxl</dc:creator>
  <dc:description/>
  <dc:language>en-US</dc:language>
  <cp:lastModifiedBy/>
  <dcterms:modified xsi:type="dcterms:W3CDTF">2026-10-01T23:31:15Z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